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wchoo\Downloads\"/>
    </mc:Choice>
  </mc:AlternateContent>
  <xr:revisionPtr revIDLastSave="0" documentId="13_ncr:1_{3F87E3A4-03AA-4B20-8B53-9E54D406086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기술 DB" sheetId="1" state="hidden" r:id="rId1"/>
    <sheet name="표지" sheetId="2" r:id="rId2"/>
    <sheet name="데이터 수집 범위" sheetId="3" r:id="rId3"/>
    <sheet name="투입물 데이터 수집" sheetId="4" r:id="rId4"/>
    <sheet name="산출물 데이터 수집" sheetId="5" r:id="rId5"/>
    <sheet name="참고자료" sheetId="6" r:id="rId6"/>
  </sheets>
  <definedNames>
    <definedName name="_xlnm.Print_Area" localSheetId="2">'데이터 수집 범위'!$A$1:$K$20</definedName>
    <definedName name="_xlnm.Print_Area" localSheetId="4">'산출물 데이터 수집'!$A$1:$T$49</definedName>
    <definedName name="_xlnm.Print_Area" localSheetId="5">참고자료!$A$1:$L$22</definedName>
    <definedName name="_xlnm.Print_Area" localSheetId="3">'투입물 데이터 수집'!$A$1:$U$38</definedName>
    <definedName name="_xlnm.Print_Area" localSheetId="1">표지!$A$1:$M$44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1" l="1"/>
  <c r="F81" i="1"/>
  <c r="F78" i="1"/>
  <c r="F8" i="1"/>
  <c r="F7" i="1"/>
</calcChain>
</file>

<file path=xl/sharedStrings.xml><?xml version="1.0" encoding="utf-8"?>
<sst xmlns="http://schemas.openxmlformats.org/spreadsheetml/2006/main" count="791" uniqueCount="335">
  <si>
    <t>기술 DB</t>
  </si>
  <si>
    <t>세부 분과 유형</t>
  </si>
  <si>
    <t>수소</t>
  </si>
  <si>
    <t>기술 구분</t>
  </si>
  <si>
    <t>기존기술</t>
  </si>
  <si>
    <t>기술명</t>
  </si>
  <si>
    <t>(한글)</t>
  </si>
  <si>
    <t>(영문)</t>
  </si>
  <si>
    <t>대체 가능 기존 기술</t>
  </si>
  <si>
    <t>기술 개요</t>
  </si>
  <si>
    <t>개요</t>
  </si>
  <si>
    <t>기술 채택의 제약 조건</t>
  </si>
  <si>
    <r>
      <rPr>
        <b/>
        <sz val="9"/>
        <color rgb="FF000000"/>
        <rFont val="더잠실 3 Regular"/>
        <family val="3"/>
        <charset val="129"/>
      </rPr>
      <t>1. 프로세스 정보</t>
    </r>
    <r>
      <rPr>
        <sz val="6"/>
        <color rgb="FF000000"/>
        <rFont val="더잠실 3 Regular"/>
        <family val="3"/>
        <charset val="129"/>
      </rPr>
      <t xml:space="preserve"> Process Information</t>
    </r>
  </si>
  <si>
    <r>
      <rPr>
        <b/>
        <sz val="9"/>
        <color rgb="FF212121"/>
        <rFont val="더잠실 3 Regular"/>
        <family val="3"/>
        <charset val="129"/>
      </rPr>
      <t>주요 데이터 세트 정보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Key Data Set Information</t>
    </r>
  </si>
  <si>
    <r>
      <rPr>
        <b/>
        <sz val="9"/>
        <color rgb="FF212121"/>
        <rFont val="더잠실 3 Regular"/>
        <family val="3"/>
        <charset val="129"/>
      </rPr>
      <t>위치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Location</t>
    </r>
  </si>
  <si>
    <t>KR</t>
  </si>
  <si>
    <r>
      <t xml:space="preserve">예 </t>
    </r>
    <r>
      <rPr>
        <sz val="6"/>
        <color rgb="FF000000"/>
        <rFont val="맑은 고딕"/>
        <family val="3"/>
        <charset val="129"/>
      </rPr>
      <t>Yes</t>
    </r>
  </si>
  <si>
    <r>
      <rPr>
        <sz val="9"/>
        <color rgb="FF000000"/>
        <rFont val="맑은 고딕"/>
        <family val="3"/>
        <charset val="129"/>
      </rPr>
      <t>검토되지 않음</t>
    </r>
    <r>
      <rPr>
        <sz val="11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맑은 고딕"/>
        <family val="3"/>
        <charset val="129"/>
      </rPr>
      <t>(Not reviewed)</t>
    </r>
  </si>
  <si>
    <r>
      <rPr>
        <sz val="9"/>
        <color rgb="FF000000"/>
        <rFont val="맑은 고딕"/>
        <family val="3"/>
        <charset val="129"/>
      </rPr>
      <t xml:space="preserve">귀속형 </t>
    </r>
    <r>
      <rPr>
        <sz val="6"/>
        <color rgb="FF000000"/>
        <rFont val="맑은 고딕"/>
        <family val="3"/>
        <charset val="129"/>
      </rPr>
      <t>Attributional</t>
    </r>
  </si>
  <si>
    <r>
      <t>시스템 확장</t>
    </r>
    <r>
      <rPr>
        <sz val="6"/>
        <color rgb="FF000000"/>
        <rFont val="맑은 고딕"/>
        <family val="3"/>
        <charset val="129"/>
      </rPr>
      <t xml:space="preserve"> System Expansion</t>
    </r>
  </si>
  <si>
    <t>수직법 Vertical</t>
  </si>
  <si>
    <t>기후 변화 Climate change</t>
  </si>
  <si>
    <r>
      <rPr>
        <b/>
        <sz val="9"/>
        <color rgb="FF212121"/>
        <rFont val="더잠실 3 Regular"/>
        <family val="3"/>
        <charset val="129"/>
      </rPr>
      <t>지리적 대표성 설명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Geographical representativeness description</t>
    </r>
  </si>
  <si>
    <t>Republic of Korea</t>
  </si>
  <si>
    <t>재생에너지</t>
  </si>
  <si>
    <t>혁신감축기술</t>
  </si>
  <si>
    <r>
      <t xml:space="preserve">아니오 </t>
    </r>
    <r>
      <rPr>
        <sz val="6"/>
        <color rgb="FF000000"/>
        <rFont val="맑은 고딕"/>
        <family val="3"/>
        <charset val="129"/>
      </rPr>
      <t>No</t>
    </r>
  </si>
  <si>
    <r>
      <rPr>
        <sz val="9"/>
        <color rgb="FF000000"/>
        <rFont val="맑은 고딕"/>
        <family val="3"/>
        <charset val="129"/>
      </rPr>
      <t xml:space="preserve">공인된 제3자 검토 </t>
    </r>
    <r>
      <rPr>
        <sz val="6"/>
        <color rgb="FF000000"/>
        <rFont val="맑은 고딕"/>
        <family val="3"/>
        <charset val="129"/>
      </rPr>
      <t>(Accredited third party review)</t>
    </r>
  </si>
  <si>
    <r>
      <t>결과형</t>
    </r>
    <r>
      <rPr>
        <sz val="6"/>
        <color rgb="FF000000"/>
        <rFont val="맑은 고딕"/>
        <family val="3"/>
        <charset val="129"/>
      </rPr>
      <t xml:space="preserve"> Consequential</t>
    </r>
  </si>
  <si>
    <r>
      <t>물리적 할당(질량 기준)</t>
    </r>
    <r>
      <rPr>
        <sz val="6"/>
        <color rgb="FF000000"/>
        <rFont val="맑은 고딕"/>
        <family val="3"/>
        <charset val="129"/>
      </rPr>
      <t xml:space="preserve"> Physical Allocation</t>
    </r>
  </si>
  <si>
    <t>수평법 Horizonal</t>
  </si>
  <si>
    <t>오존층 파괴 Ozone depletion</t>
  </si>
  <si>
    <r>
      <rPr>
        <b/>
        <sz val="9"/>
        <color rgb="FF212121"/>
        <rFont val="더잠실 3 Regular"/>
        <family val="3"/>
        <charset val="129"/>
      </rPr>
      <t xml:space="preserve">기준 연도 </t>
    </r>
    <r>
      <rPr>
        <sz val="6"/>
        <color rgb="FF212121"/>
        <rFont val="더잠실 3 Regular"/>
        <family val="3"/>
        <charset val="129"/>
      </rPr>
      <t>Reference year</t>
    </r>
  </si>
  <si>
    <t>석유화학/정유</t>
  </si>
  <si>
    <r>
      <t>물리적 할당(부피 기준)</t>
    </r>
    <r>
      <rPr>
        <sz val="6"/>
        <color rgb="FF000000"/>
        <rFont val="맑은 고딕"/>
        <family val="3"/>
        <charset val="129"/>
      </rPr>
      <t xml:space="preserve"> Physical Allocation</t>
    </r>
  </si>
  <si>
    <t>여름 스모그 Summer smog</t>
  </si>
  <si>
    <r>
      <rPr>
        <b/>
        <sz val="9"/>
        <color rgb="FF212121"/>
        <rFont val="더잠실 3 Regular"/>
        <family val="3"/>
        <charset val="129"/>
      </rPr>
      <t>데이터베이스 명칭</t>
    </r>
    <r>
      <rPr>
        <sz val="6"/>
        <color rgb="FF212121"/>
        <rFont val="더잠실 3 Regular"/>
        <family val="3"/>
        <charset val="129"/>
      </rPr>
      <t xml:space="preserve"> Name</t>
    </r>
  </si>
  <si>
    <t>수소(증기 분해기)</t>
  </si>
  <si>
    <t>철강</t>
  </si>
  <si>
    <r>
      <t>경제적 할당</t>
    </r>
    <r>
      <rPr>
        <sz val="6"/>
        <color rgb="FF000000"/>
        <rFont val="맑은 고딕"/>
        <family val="3"/>
        <charset val="129"/>
      </rPr>
      <t xml:space="preserve"> Economic Allocation</t>
    </r>
  </si>
  <si>
    <t>부영양화 Eutrophication</t>
  </si>
  <si>
    <t>Hydrogen (steam cracker)</t>
  </si>
  <si>
    <t>시멘트</t>
  </si>
  <si>
    <t>기타</t>
  </si>
  <si>
    <t>산성화 Acidification</t>
  </si>
  <si>
    <r>
      <rPr>
        <b/>
        <sz val="9"/>
        <color rgb="FF212121"/>
        <rFont val="더잠실 3 Regular"/>
        <family val="3"/>
        <charset val="129"/>
      </rPr>
      <t>분류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Classification</t>
    </r>
  </si>
  <si>
    <t>Materials production / Other materials</t>
  </si>
  <si>
    <t>반도체·디스플레이</t>
  </si>
  <si>
    <t>인간 독성 Human toxicity</t>
  </si>
  <si>
    <r>
      <rPr>
        <b/>
        <sz val="9"/>
        <color rgb="FF212121"/>
        <rFont val="더잠실 3 Regular"/>
        <family val="3"/>
        <charset val="129"/>
      </rPr>
      <t xml:space="preserve">설명 </t>
    </r>
    <r>
      <rPr>
        <sz val="6"/>
        <color rgb="FF212121"/>
        <rFont val="더잠실 3 Regular"/>
        <family val="3"/>
        <charset val="129"/>
      </rPr>
      <t>General comment on data set</t>
    </r>
  </si>
  <si>
    <t>The dataset represents the production of Hydrogen (steam cracker) in Korea............</t>
  </si>
  <si>
    <t>CCUS</t>
  </si>
  <si>
    <t>담수 생태 독성 Freshwater ecotoxicity</t>
  </si>
  <si>
    <r>
      <rPr>
        <b/>
        <sz val="9"/>
        <color rgb="FF212121"/>
        <rFont val="더잠실 3 Regular"/>
        <family val="3"/>
        <charset val="129"/>
      </rPr>
      <t>저작권</t>
    </r>
    <r>
      <rPr>
        <sz val="6"/>
        <color rgb="FF212121"/>
        <rFont val="더잠실 3 Regular"/>
        <family val="3"/>
        <charset val="129"/>
      </rPr>
      <t xml:space="preserve"> Copyright</t>
    </r>
  </si>
  <si>
    <t>예 Yes</t>
  </si>
  <si>
    <t>자원순환</t>
  </si>
  <si>
    <t>해수 생태 독성 Seawater eco-toxicity</t>
  </si>
  <si>
    <r>
      <rPr>
        <b/>
        <sz val="9"/>
        <color rgb="FF212121"/>
        <rFont val="더잠실 3 Regular"/>
        <family val="3"/>
        <charset val="129"/>
      </rPr>
      <t>데이터베이스 소유자</t>
    </r>
    <r>
      <rPr>
        <sz val="6"/>
        <color rgb="FF212121"/>
        <rFont val="더잠실 3 Regular"/>
        <family val="3"/>
        <charset val="129"/>
      </rPr>
      <t xml:space="preserve"> Owner of data set</t>
    </r>
  </si>
  <si>
    <t>KEITI</t>
  </si>
  <si>
    <t>육상 생태 독성 Terrestric eco-toxicity</t>
  </si>
  <si>
    <t>방사능 Radioactivity</t>
  </si>
  <si>
    <r>
      <rPr>
        <b/>
        <sz val="9"/>
        <color rgb="FF212121"/>
        <rFont val="더잠실 3 Regular"/>
        <family val="3"/>
        <charset val="129"/>
      </rPr>
      <t xml:space="preserve">정량적 참조 </t>
    </r>
    <r>
      <rPr>
        <sz val="6"/>
        <color rgb="FF212121"/>
        <rFont val="더잠실 3 Regular"/>
        <family val="3"/>
        <charset val="129"/>
      </rPr>
      <t>Quantitative reference</t>
    </r>
  </si>
  <si>
    <t>토지 이용 Land use</t>
  </si>
  <si>
    <r>
      <rPr>
        <b/>
        <sz val="9"/>
        <color rgb="FF212121"/>
        <rFont val="더잠실 3 Regular"/>
        <family val="3"/>
        <charset val="129"/>
      </rPr>
      <t>참조 흐름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Reference flow(s)</t>
    </r>
  </si>
  <si>
    <t>Hydrogen (steam cracker) - 1.0 * 1.0 kg (Mass)</t>
  </si>
  <si>
    <t>재생 불가능한 자원 고갈 Non-renewable material resource depletion</t>
  </si>
  <si>
    <t>재생 가능한 자원 소비 Renewable material resource consumption</t>
  </si>
  <si>
    <r>
      <rPr>
        <b/>
        <sz val="9"/>
        <color rgb="FF212121"/>
        <rFont val="더잠실 3 Regular"/>
        <family val="3"/>
        <charset val="129"/>
      </rPr>
      <t>시간적 대표성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Time representativeness</t>
    </r>
  </si>
  <si>
    <t>재생 불가능한 1차 에너지 고갈 Non-renewable primary energy depletion</t>
  </si>
  <si>
    <r>
      <rPr>
        <b/>
        <sz val="9"/>
        <color rgb="FF212121"/>
        <rFont val="더잠실 3 Regular"/>
        <family val="3"/>
        <charset val="129"/>
      </rPr>
      <t xml:space="preserve">데이터베이스 유효 기간 </t>
    </r>
    <r>
      <rPr>
        <sz val="6"/>
        <color rgb="FF212121"/>
        <rFont val="더잠실 3 Regular"/>
        <family val="3"/>
        <charset val="129"/>
      </rPr>
      <t>Data set valid until</t>
    </r>
  </si>
  <si>
    <t>재생 가능 1차 에너지 소비 Renewable primary energy consumption</t>
  </si>
  <si>
    <r>
      <rPr>
        <b/>
        <sz val="9"/>
        <color rgb="FF212121"/>
        <rFont val="더잠실 3 Regular"/>
        <family val="3"/>
        <charset val="129"/>
      </rPr>
      <t xml:space="preserve">시간적 대표 설명 </t>
    </r>
    <r>
      <rPr>
        <sz val="6"/>
        <color rgb="FF212121"/>
        <rFont val="더잠실 3 Regular"/>
        <family val="3"/>
        <charset val="129"/>
      </rPr>
      <t>Time representativeness description</t>
    </r>
  </si>
  <si>
    <t>3 years average (2020 ~ 2022)</t>
  </si>
  <si>
    <t>미세먼지/호흡기 무기물 Particulate matter/respiratory inorganics</t>
  </si>
  <si>
    <t>종 멸종 Species depletion</t>
  </si>
  <si>
    <r>
      <rPr>
        <b/>
        <sz val="9"/>
        <color rgb="FF212121"/>
        <rFont val="더잠실 3 Regular"/>
        <family val="3"/>
        <charset val="129"/>
      </rPr>
      <t>기술적 대표성</t>
    </r>
    <r>
      <rPr>
        <sz val="6"/>
        <color rgb="FF212121"/>
        <rFont val="더잠실 3 Regular"/>
        <family val="3"/>
        <charset val="129"/>
      </rPr>
      <t xml:space="preserve"> Technological representativeness</t>
    </r>
  </si>
  <si>
    <t>소음 Noise</t>
  </si>
  <si>
    <r>
      <rPr>
        <b/>
        <sz val="9"/>
        <color rgb="FF212121"/>
        <rFont val="더잠실 3 Regular"/>
        <family val="3"/>
        <charset val="129"/>
      </rPr>
      <t>기술적 설명</t>
    </r>
    <r>
      <rPr>
        <sz val="6"/>
        <color rgb="FF212121"/>
        <rFont val="더잠실 3 Regular"/>
        <family val="3"/>
        <charset val="129"/>
      </rPr>
      <t xml:space="preserve"> Technology description including background system</t>
    </r>
  </si>
  <si>
    <t>This data set ends with Hydrogen (steam cracker) production in the crude oil refining process..........</t>
  </si>
  <si>
    <r>
      <rPr>
        <b/>
        <sz val="9"/>
        <color rgb="FF212121"/>
        <rFont val="더잠실 3 Regular"/>
        <family val="3"/>
        <charset val="129"/>
      </rPr>
      <t xml:space="preserve">흐름도 또는 그림 </t>
    </r>
    <r>
      <rPr>
        <sz val="6"/>
        <color rgb="FF212121"/>
        <rFont val="더잠실 3 Regular"/>
        <family val="3"/>
        <charset val="129"/>
      </rPr>
      <t>Flow diagram(s) or picture(s)</t>
    </r>
  </si>
  <si>
    <r>
      <rPr>
        <b/>
        <sz val="9"/>
        <color rgb="FF000000"/>
        <rFont val="더잠실 3 Regular"/>
        <family val="3"/>
        <charset val="129"/>
      </rPr>
      <t>2. 모델링 및 검증</t>
    </r>
    <r>
      <rPr>
        <sz val="6"/>
        <color rgb="FF000000"/>
        <rFont val="더잠실 3 Regular"/>
        <family val="3"/>
        <charset val="129"/>
      </rPr>
      <t xml:space="preserve"> Modelling and Validation</t>
    </r>
  </si>
  <si>
    <r>
      <rPr>
        <b/>
        <sz val="9"/>
        <color rgb="FF212121"/>
        <rFont val="더잠실 3 Regular"/>
        <family val="3"/>
        <charset val="129"/>
      </rPr>
      <t>LCI 방법 및 할당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LCI method and allocation</t>
    </r>
  </si>
  <si>
    <r>
      <rPr>
        <b/>
        <sz val="9"/>
        <color rgb="FF212121"/>
        <rFont val="더잠실 3 Regular"/>
        <family val="3"/>
        <charset val="129"/>
      </rPr>
      <t>데이터베이스 유형</t>
    </r>
    <r>
      <rPr>
        <b/>
        <sz val="6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Type of data set</t>
    </r>
  </si>
  <si>
    <t>LCI result</t>
  </si>
  <si>
    <r>
      <rPr>
        <b/>
        <sz val="9"/>
        <color rgb="FF212121"/>
        <rFont val="더잠실 3 Regular"/>
        <family val="3"/>
        <charset val="129"/>
      </rPr>
      <t>LCI 방법 원칙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LCI Method Principle</t>
    </r>
  </si>
  <si>
    <t>귀속형 Attributional</t>
  </si>
  <si>
    <r>
      <rPr>
        <b/>
        <sz val="9"/>
        <color rgb="FF212121"/>
        <rFont val="더잠실 3 Regular"/>
        <family val="3"/>
        <charset val="129"/>
      </rPr>
      <t xml:space="preserve">LCI 방법 접근 방식 </t>
    </r>
    <r>
      <rPr>
        <sz val="6"/>
        <color rgb="FF212121"/>
        <rFont val="더잠실 3 Regular"/>
        <family val="3"/>
        <charset val="129"/>
      </rPr>
      <t>LCI method approaches</t>
    </r>
  </si>
  <si>
    <t>물리적 할당(질량 기준) Physical Allocation</t>
  </si>
  <si>
    <r>
      <rPr>
        <b/>
        <sz val="9"/>
        <color rgb="FF212121"/>
        <rFont val="더잠실 3 Regular"/>
        <family val="3"/>
        <charset val="129"/>
      </rPr>
      <t>데이터베이스 출처, 처리 및 대표성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Data sources, treatment and representativeness</t>
    </r>
  </si>
  <si>
    <r>
      <rPr>
        <b/>
        <sz val="9"/>
        <color rgb="FF212121"/>
        <rFont val="더잠실 3 Regular"/>
        <family val="3"/>
        <charset val="129"/>
      </rPr>
      <t>데이터 컷오프 및 완전성 원칙</t>
    </r>
    <r>
      <rPr>
        <b/>
        <sz val="6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Data cut-off and completeness principles</t>
    </r>
  </si>
  <si>
    <t>No cut-off criteria</t>
  </si>
  <si>
    <r>
      <rPr>
        <b/>
        <sz val="9"/>
        <color rgb="FF212121"/>
        <rFont val="더잠실 3 Regular"/>
        <family val="3"/>
        <charset val="129"/>
      </rPr>
      <t>데이터 선택 및 조합 원칙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Data selection and combination principles</t>
    </r>
  </si>
  <si>
    <r>
      <t>특정데이터(설문조사)</t>
    </r>
    <r>
      <rPr>
        <sz val="6"/>
        <color rgb="FFFF0000"/>
        <rFont val="더잠실 3 Regular"/>
        <family val="3"/>
        <charset val="129"/>
      </rPr>
      <t xml:space="preserve"> Specific data(Questionaire or survey)</t>
    </r>
  </si>
  <si>
    <r>
      <rPr>
        <b/>
        <sz val="9"/>
        <color rgb="FF212121"/>
        <rFont val="더잠실 3 Regular"/>
        <family val="3"/>
        <charset val="129"/>
      </rPr>
      <t>데이터 처리 및 외삽 원칙</t>
    </r>
    <r>
      <rPr>
        <b/>
        <sz val="6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Data treatment and extrapolations principles</t>
    </r>
  </si>
  <si>
    <r>
      <rPr>
        <b/>
        <sz val="9"/>
        <color rgb="FF000000"/>
        <rFont val="더잠실 3 Regular"/>
        <family val="3"/>
        <charset val="129"/>
      </rPr>
      <t xml:space="preserve">공급 또는 생산 점유율 </t>
    </r>
    <r>
      <rPr>
        <sz val="6"/>
        <color rgb="FF000000"/>
        <rFont val="더잠실 3 Regular"/>
        <family val="3"/>
        <charset val="129"/>
      </rPr>
      <t>Percentage supply or production covered</t>
    </r>
  </si>
  <si>
    <r>
      <rPr>
        <b/>
        <sz val="9"/>
        <color rgb="FF212121"/>
        <rFont val="더잠실 3 Regular"/>
        <family val="3"/>
        <charset val="129"/>
      </rPr>
      <t xml:space="preserve">연간 공급량 또는 생산량
</t>
    </r>
    <r>
      <rPr>
        <sz val="6"/>
        <color rgb="FF212121"/>
        <rFont val="더잠실 3 Regular"/>
        <family val="3"/>
        <charset val="129"/>
      </rPr>
      <t>Annual supply or production volume</t>
    </r>
  </si>
  <si>
    <t>양</t>
  </si>
  <si>
    <t>단위</t>
  </si>
  <si>
    <t>ton</t>
  </si>
  <si>
    <r>
      <rPr>
        <b/>
        <sz val="9"/>
        <color rgb="FF212121"/>
        <rFont val="더잠실 3 Regular"/>
        <family val="3"/>
        <charset val="129"/>
      </rPr>
      <t>데이터 수집 기간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Data collection period</t>
    </r>
  </si>
  <si>
    <t>2020.01 ~ 2022.12</t>
  </si>
  <si>
    <r>
      <rPr>
        <b/>
        <sz val="9"/>
        <color rgb="FF212121"/>
        <rFont val="더잠실 3 Regular"/>
        <family val="3"/>
        <charset val="129"/>
      </rPr>
      <t xml:space="preserve">완전성 </t>
    </r>
    <r>
      <rPr>
        <sz val="6"/>
        <color rgb="FF212121"/>
        <rFont val="더잠실 3 Regular"/>
        <family val="3"/>
        <charset val="129"/>
      </rPr>
      <t>Completeness</t>
    </r>
  </si>
  <si>
    <r>
      <rPr>
        <b/>
        <sz val="9"/>
        <color rgb="FF212121"/>
        <rFont val="더잠실 3 Regular"/>
        <family val="3"/>
        <charset val="129"/>
      </rPr>
      <t>제품 모델의 완전성</t>
    </r>
    <r>
      <rPr>
        <b/>
        <sz val="6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Completeness of product model</t>
    </r>
  </si>
  <si>
    <t>All relevant flows quantified</t>
  </si>
  <si>
    <r>
      <rPr>
        <b/>
        <sz val="9"/>
        <color rgb="FF212121"/>
        <rFont val="더잠실 3 Regular"/>
        <family val="3"/>
        <charset val="129"/>
      </rPr>
      <t>지원되는 영향평가 방법</t>
    </r>
    <r>
      <rPr>
        <sz val="6"/>
        <color rgb="FF212121"/>
        <rFont val="더잠실 3 Regular"/>
        <family val="3"/>
        <charset val="129"/>
      </rPr>
      <t xml:space="preserve"> Supported impact assessment methods</t>
    </r>
  </si>
  <si>
    <r>
      <t>주제별 완전성 기본 흐름</t>
    </r>
    <r>
      <rPr>
        <sz val="6"/>
        <color rgb="FF212121"/>
        <rFont val="더잠실 3 Regular"/>
        <family val="3"/>
        <charset val="129"/>
      </rPr>
      <t xml:space="preserve"> Completeness elementary flows, per topic</t>
    </r>
  </si>
  <si>
    <r>
      <rPr>
        <b/>
        <sz val="9"/>
        <color rgb="FF212121"/>
        <rFont val="더잠실 3 Regular"/>
        <family val="3"/>
        <charset val="129"/>
      </rPr>
      <t>검증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Validation</t>
    </r>
  </si>
  <si>
    <t>유형</t>
  </si>
  <si>
    <t>검토되지 않음 (Not reviewed)</t>
  </si>
  <si>
    <t>범위</t>
  </si>
  <si>
    <r>
      <rPr>
        <b/>
        <sz val="9"/>
        <color rgb="FF000000"/>
        <rFont val="더잠실 3 Regular"/>
        <family val="3"/>
        <charset val="129"/>
      </rPr>
      <t>3. 행정 정보</t>
    </r>
    <r>
      <rPr>
        <sz val="11"/>
        <color rgb="FF000000"/>
        <rFont val="더잠실 3 Regular"/>
        <family val="3"/>
        <charset val="129"/>
      </rPr>
      <t xml:space="preserve"> </t>
    </r>
    <r>
      <rPr>
        <sz val="6"/>
        <color rgb="FF000000"/>
        <rFont val="더잠실 3 Regular"/>
        <family val="3"/>
        <charset val="129"/>
      </rPr>
      <t>Administrative information</t>
    </r>
  </si>
  <si>
    <r>
      <rPr>
        <b/>
        <sz val="9"/>
        <color rgb="FF212121"/>
        <rFont val="더잠실 3 Regular"/>
        <family val="3"/>
        <charset val="129"/>
      </rPr>
      <t>데이터베이스 생성자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Data generator</t>
    </r>
  </si>
  <si>
    <r>
      <rPr>
        <b/>
        <sz val="9"/>
        <color rgb="FF212121"/>
        <rFont val="더잠실 3 Regular"/>
        <family val="3"/>
        <charset val="129"/>
      </rPr>
      <t>데이터베이스 생성자/모델러</t>
    </r>
    <r>
      <rPr>
        <sz val="6"/>
        <color rgb="FF212121"/>
        <rFont val="더잠실 3 Regular"/>
        <family val="3"/>
        <charset val="129"/>
      </rPr>
      <t xml:space="preserve"> Data set generator/modeller</t>
    </r>
  </si>
  <si>
    <r>
      <rPr>
        <b/>
        <sz val="9"/>
        <color rgb="FF212121"/>
        <rFont val="더잠실 3 Regular"/>
        <family val="3"/>
        <charset val="129"/>
      </rPr>
      <t>데이터 입력</t>
    </r>
    <r>
      <rPr>
        <sz val="6"/>
        <color rgb="FF212121"/>
        <rFont val="더잠실 3 Regular"/>
        <family val="3"/>
        <charset val="129"/>
      </rPr>
      <t xml:space="preserve"> Data entry by</t>
    </r>
  </si>
  <si>
    <r>
      <rPr>
        <b/>
        <sz val="9"/>
        <color rgb="FF212121"/>
        <rFont val="더잠실 3 Regular"/>
        <family val="3"/>
        <charset val="129"/>
      </rPr>
      <t>타임스탬프(마지막 저장)</t>
    </r>
    <r>
      <rPr>
        <b/>
        <sz val="6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Time stamp (last saved)</t>
    </r>
  </si>
  <si>
    <t>2024-07-05T16:46:39.000</t>
  </si>
  <si>
    <r>
      <rPr>
        <b/>
        <sz val="9"/>
        <color rgb="FF212121"/>
        <rFont val="더잠실 3 Regular"/>
        <family val="3"/>
        <charset val="129"/>
      </rPr>
      <t>데이터 세트 형식</t>
    </r>
    <r>
      <rPr>
        <sz val="6"/>
        <color rgb="FF212121"/>
        <rFont val="더잠실 3 Regular"/>
        <family val="3"/>
        <charset val="129"/>
      </rPr>
      <t xml:space="preserve"> Data set format(s)</t>
    </r>
  </si>
  <si>
    <t>ILCD format 1.1</t>
  </si>
  <si>
    <r>
      <t>데이터 입력자</t>
    </r>
    <r>
      <rPr>
        <sz val="6"/>
        <color rgb="FF212121"/>
        <rFont val="더잠실 3 Regular"/>
        <family val="3"/>
        <charset val="129"/>
      </rPr>
      <t xml:space="preserve"> Data entry by</t>
    </r>
  </si>
  <si>
    <t>Inha university</t>
  </si>
  <si>
    <r>
      <rPr>
        <b/>
        <sz val="9"/>
        <color rgb="FF212121"/>
        <rFont val="더잠실 3 Regular"/>
        <family val="3"/>
        <charset val="129"/>
      </rPr>
      <t>출판 및 소유권</t>
    </r>
    <r>
      <rPr>
        <sz val="9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Publication and ownership</t>
    </r>
  </si>
  <si>
    <t>UUID</t>
  </si>
  <si>
    <t>03a60f0d-3f01-4c4e-9b56-6db114e30f2b</t>
  </si>
  <si>
    <r>
      <rPr>
        <b/>
        <sz val="9"/>
        <color rgb="FF212121"/>
        <rFont val="더잠실 3 Regular"/>
        <family val="3"/>
        <charset val="129"/>
      </rPr>
      <t>마지막 수정 날짜</t>
    </r>
    <r>
      <rPr>
        <sz val="6"/>
        <color rgb="FF212121"/>
        <rFont val="더잠실 3 Regular"/>
        <family val="3"/>
        <charset val="129"/>
      </rPr>
      <t xml:space="preserve"> Date of last revision</t>
    </r>
  </si>
  <si>
    <r>
      <rPr>
        <b/>
        <sz val="9"/>
        <color rgb="FF212121"/>
        <rFont val="더잠실 3 Regular"/>
        <family val="3"/>
        <charset val="129"/>
      </rPr>
      <t>데이터베이스 버전</t>
    </r>
    <r>
      <rPr>
        <sz val="6"/>
        <color rgb="FF212121"/>
        <rFont val="더잠실 3 Regular"/>
        <family val="3"/>
        <charset val="129"/>
      </rPr>
      <t xml:space="preserve"> Data set version</t>
    </r>
  </si>
  <si>
    <t>00.00.001</t>
  </si>
  <si>
    <r>
      <rPr>
        <b/>
        <sz val="9"/>
        <color rgb="FF212121"/>
        <rFont val="더잠실 3 Regular"/>
        <family val="3"/>
        <charset val="129"/>
      </rPr>
      <t xml:space="preserve">워크플로 및 게시 상태 </t>
    </r>
    <r>
      <rPr>
        <sz val="6"/>
        <color rgb="FF212121"/>
        <rFont val="더잠실 3 Regular"/>
        <family val="3"/>
        <charset val="129"/>
      </rPr>
      <t>Workflow and publication status</t>
    </r>
  </si>
  <si>
    <t>Data set finalised; entirely published</t>
  </si>
  <si>
    <r>
      <rPr>
        <b/>
        <sz val="9"/>
        <color rgb="FF212121"/>
        <rFont val="더잠실 3 Regular"/>
        <family val="3"/>
        <charset val="129"/>
      </rPr>
      <t>등록 기관</t>
    </r>
    <r>
      <rPr>
        <b/>
        <sz val="6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Registration authority</t>
    </r>
  </si>
  <si>
    <r>
      <rPr>
        <b/>
        <sz val="9"/>
        <color rgb="FF212121"/>
        <rFont val="더잠실 3 Regular"/>
        <family val="3"/>
        <charset val="129"/>
      </rPr>
      <t xml:space="preserve">데이터베이스 소유자 </t>
    </r>
    <r>
      <rPr>
        <sz val="6"/>
        <color rgb="FF212121"/>
        <rFont val="더잠실 3 Regular"/>
        <family val="3"/>
        <charset val="129"/>
      </rPr>
      <t>Owner of data set</t>
    </r>
  </si>
  <si>
    <r>
      <rPr>
        <b/>
        <sz val="9"/>
        <color rgb="FF212121"/>
        <rFont val="더잠실 3 Regular"/>
        <family val="3"/>
        <charset val="129"/>
      </rPr>
      <t xml:space="preserve">저작권 </t>
    </r>
    <r>
      <rPr>
        <sz val="6"/>
        <color rgb="FF212121"/>
        <rFont val="더잠실 3 Regular"/>
        <family val="3"/>
        <charset val="129"/>
      </rPr>
      <t>Copyright</t>
    </r>
  </si>
  <si>
    <r>
      <rPr>
        <b/>
        <sz val="9"/>
        <color rgb="FF212121"/>
        <rFont val="더잠실 3 Regular"/>
        <family val="3"/>
        <charset val="129"/>
      </rPr>
      <t>라이선스 유형</t>
    </r>
    <r>
      <rPr>
        <b/>
        <sz val="6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License type</t>
    </r>
  </si>
  <si>
    <t>Free</t>
  </si>
  <si>
    <r>
      <rPr>
        <b/>
        <sz val="9"/>
        <color rgb="FF212121"/>
        <rFont val="더잠실 3 Regular"/>
        <family val="3"/>
        <charset val="129"/>
      </rPr>
      <t>접근 및 사용 제한</t>
    </r>
    <r>
      <rPr>
        <b/>
        <sz val="6"/>
        <color rgb="FF212121"/>
        <rFont val="더잠실 3 Regular"/>
        <family val="3"/>
        <charset val="129"/>
      </rPr>
      <t xml:space="preserve"> </t>
    </r>
    <r>
      <rPr>
        <sz val="6"/>
        <color rgb="FF212121"/>
        <rFont val="더잠실 3 Regular"/>
        <family val="3"/>
        <charset val="129"/>
      </rPr>
      <t>Access and use restrictions</t>
    </r>
  </si>
  <si>
    <t>he dataset can be accessed with registration and used freely</t>
  </si>
  <si>
    <t>-</t>
  </si>
  <si>
    <t>신재생에너지</t>
  </si>
  <si>
    <r>
      <rPr>
        <b/>
        <sz val="33"/>
        <color rgb="FF000000"/>
        <rFont val="맑은 고딕"/>
        <family val="3"/>
        <charset val="129"/>
      </rPr>
      <t>데이터 수집 설문지</t>
    </r>
    <r>
      <rPr>
        <b/>
        <sz val="24"/>
        <color rgb="FF000000"/>
        <rFont val="맑은 고딕"/>
        <family val="3"/>
        <charset val="129"/>
      </rPr>
      <t xml:space="preserve">
</t>
    </r>
    <r>
      <rPr>
        <b/>
        <sz val="18"/>
        <color rgb="FF000000"/>
        <rFont val="맑은 고딕"/>
        <family val="3"/>
        <charset val="129"/>
      </rPr>
      <t>- LCI DB 구축용 -</t>
    </r>
  </si>
  <si>
    <t>세부 분과</t>
  </si>
  <si>
    <t>설문지 식별코드</t>
  </si>
  <si>
    <t>DB 명칭</t>
  </si>
  <si>
    <t>e-케로신</t>
  </si>
  <si>
    <t>수행 담당 기관</t>
  </si>
  <si>
    <t>한국산업기술시험원</t>
  </si>
  <si>
    <t>작성자</t>
  </si>
  <si>
    <t>연락처</t>
  </si>
  <si>
    <t>(예시)</t>
  </si>
  <si>
    <t>2. 데이터 수집 범위</t>
  </si>
  <si>
    <t>◎</t>
  </si>
  <si>
    <t>데이터 수집 대상 연도, 시스템 경계, 공정흐름도 작성 기준 등 LCI DB 구축을 위한 데이터 수집 범위를 안내하기 위한 정보 제공</t>
  </si>
  <si>
    <t>※</t>
  </si>
  <si>
    <t>공정 흐름도 및 공정 설명 작성의 참고자료 정보는 '5.참고자료'에 기재</t>
  </si>
  <si>
    <t>데이터 수집 대상 연도</t>
  </si>
  <si>
    <t>202x-xx-xx~202x-xx-xx</t>
  </si>
  <si>
    <t>예) 2015년 1개 연도</t>
  </si>
  <si>
    <t>시스템경계</t>
  </si>
  <si>
    <t>예) Ctg(Cradle-to-gate)</t>
  </si>
  <si>
    <t>공정흐름도</t>
  </si>
  <si>
    <t>공정설명</t>
  </si>
  <si>
    <t>선별</t>
  </si>
  <si>
    <t>이물질과 비재활용성 물질을 제거하는 과정</t>
  </si>
  <si>
    <t>파 · 분쇄</t>
  </si>
  <si>
    <t>플라스틱을 작은 입자로 만드는 과정</t>
  </si>
  <si>
    <t>세척 및 탈수</t>
  </si>
  <si>
    <t>분순물 제거 후 수분을 제거하는 과정</t>
  </si>
  <si>
    <t>융용 및 압출</t>
  </si>
  <si>
    <t>가열한 후 펠렛 형태로 성형하는 과정</t>
  </si>
  <si>
    <t>…</t>
  </si>
  <si>
    <t>3. 투입물 데이터 수집</t>
  </si>
  <si>
    <t>투입물의 데이터 범주는 원료, 에너지, 보조물질</t>
  </si>
  <si>
    <t>제품을 출하할 때 쓰이는 포장재로 사용되는 투입원료는 시스템 경계에서 제외 (KS I 7004 표준 명시사항)</t>
  </si>
  <si>
    <t>물질명은 IUPAC(International Union of Pure and Applied Chemistry)명 또는 관용명으로 기재</t>
  </si>
  <si>
    <t>♣</t>
  </si>
  <si>
    <t>원료 물질 및 보조 물질</t>
  </si>
  <si>
    <t>구분</t>
  </si>
  <si>
    <t>물질명</t>
  </si>
  <si>
    <t>단위
(연간)</t>
  </si>
  <si>
    <t>용도</t>
  </si>
  <si>
    <t>원료물질 수송 (원료 물질에만 기입하여 주시기 바랍니다.)</t>
  </si>
  <si>
    <t>원산지
(국가/업체명)</t>
  </si>
  <si>
    <t>수송방법</t>
  </si>
  <si>
    <t>운송경로</t>
  </si>
  <si>
    <t>비고</t>
  </si>
  <si>
    <t>해양</t>
  </si>
  <si>
    <t>물동량
(ton · km)</t>
  </si>
  <si>
    <t>육로</t>
  </si>
  <si>
    <t>원료 물질</t>
  </si>
  <si>
    <t>이산화탄소</t>
  </si>
  <si>
    <t>케로신 원료</t>
  </si>
  <si>
    <t>석회암</t>
  </si>
  <si>
    <t>kg/yr</t>
  </si>
  <si>
    <t>원료물질</t>
  </si>
  <si>
    <t>오스트레일리아</t>
  </si>
  <si>
    <t>컨테이너선</t>
  </si>
  <si>
    <t>트럭(8톤)</t>
  </si>
  <si>
    <t>오스트레일리아-인천-서울</t>
  </si>
  <si>
    <t>보조 물질</t>
  </si>
  <si>
    <t>용수</t>
  </si>
  <si>
    <t>살수 먼지 제거</t>
  </si>
  <si>
    <t>촉매</t>
  </si>
  <si>
    <t>다이너마이트</t>
  </si>
  <si>
    <t>암석을 부수는 용도</t>
  </si>
  <si>
    <t>질소</t>
  </si>
  <si>
    <t>Liter</t>
  </si>
  <si>
    <t>퍼지, 불활성</t>
  </si>
  <si>
    <t>암포화확</t>
  </si>
  <si>
    <t>수증기</t>
  </si>
  <si>
    <t>조성 제어</t>
  </si>
  <si>
    <t>에너지</t>
  </si>
  <si>
    <t>단위(연간)</t>
  </si>
  <si>
    <t>전력</t>
  </si>
  <si>
    <t>kW</t>
  </si>
  <si>
    <t>한국전력공사 공급</t>
  </si>
  <si>
    <t>kWh/yr</t>
  </si>
  <si>
    <t>장비 사용시</t>
  </si>
  <si>
    <t>재생전력</t>
  </si>
  <si>
    <t>( 풍력 / 태양광 / 수력 / 원전 )</t>
  </si>
  <si>
    <t>쳔연가스</t>
  </si>
  <si>
    <t>경유</t>
  </si>
  <si>
    <t>중장비 사용시</t>
  </si>
  <si>
    <t>….</t>
  </si>
  <si>
    <t>스팀종류
(포화증기/습증기/과열증기)</t>
  </si>
  <si>
    <t>스팀의 질량</t>
  </si>
  <si>
    <t>응축수 질량</t>
  </si>
  <si>
    <t>응축수
온도</t>
  </si>
  <si>
    <t>스팀순환여부</t>
  </si>
  <si>
    <t>외부스팀 여부</t>
  </si>
  <si>
    <t>스팀</t>
  </si>
  <si>
    <t>MJ/yr</t>
  </si>
  <si>
    <t>A공정 에너지 공급용도</t>
  </si>
  <si>
    <t>포화증기</t>
  </si>
  <si>
    <t>30kg/yr</t>
  </si>
  <si>
    <t>60도</t>
  </si>
  <si>
    <t>O</t>
  </si>
  <si>
    <t>X</t>
  </si>
  <si>
    <t>공업용수</t>
  </si>
  <si>
    <t>일부 or 전체 내부 폐수 정화 공정 유출수 사용</t>
  </si>
  <si>
    <t>윤활유</t>
  </si>
  <si>
    <t>기계설비 및 중장비 성능 유지</t>
  </si>
  <si>
    <t>월 보충량 :10kg</t>
  </si>
  <si>
    <t>컨베이어 벨트</t>
  </si>
  <si>
    <t>생산 제품 이동</t>
  </si>
  <si>
    <t>1개 무게 : 10kg / 1개 크기: 1m3 / 월 1개 소모</t>
  </si>
  <si>
    <t>4. 산출물 데이터 수집</t>
  </si>
  <si>
    <t>산출물의 데이터 범주는 제품 및 부산물, 폐기물(매립, 소각, 재활용), 환경배출물(대기배출물,수계배출물,토양배출물)을 포함</t>
  </si>
  <si>
    <t>원부자재 생산 공정의 경우 생산품 출하 이후의 과정(제품 수송, 사용, 폐기)은 시스템 경계에서 제외</t>
  </si>
  <si>
    <t>(단, 출하 이후 손실이 발생하는 경우에는 손실률 고려, 예: 전력)</t>
  </si>
  <si>
    <t>데이터 수집의 참고자료는 '5. 참고자료'에 기재</t>
  </si>
  <si>
    <t>제품 및 부산물</t>
  </si>
  <si>
    <t>생산원가</t>
  </si>
  <si>
    <t>제품</t>
  </si>
  <si>
    <t>재활용 플라스틱 펠렛</t>
  </si>
  <si>
    <t>원/kg</t>
  </si>
  <si>
    <t>부산물</t>
  </si>
  <si>
    <t>부산물1</t>
  </si>
  <si>
    <t>대기 배출물</t>
  </si>
  <si>
    <t>데이터 수집 방법</t>
  </si>
  <si>
    <t>대기배출물</t>
  </si>
  <si>
    <t>NOx</t>
  </si>
  <si>
    <t>업체 측정</t>
  </si>
  <si>
    <t>PM 2.5</t>
  </si>
  <si>
    <t>CO</t>
  </si>
  <si>
    <t>CH4</t>
  </si>
  <si>
    <t>에너지 연소 후 미반응 가스 배출물</t>
  </si>
  <si>
    <t xml:space="preserve">수계 배출물 </t>
  </si>
  <si>
    <t>사업장 내 1차 하수처리장 설치여부</t>
  </si>
  <si>
    <t>처리경로</t>
  </si>
  <si>
    <t>처리방법</t>
  </si>
  <si>
    <t>수계 배출물</t>
  </si>
  <si>
    <t>폐수</t>
  </si>
  <si>
    <t>냉각수</t>
  </si>
  <si>
    <t>위탁처리(종말처리장)</t>
  </si>
  <si>
    <t>활성슬러지법</t>
  </si>
  <si>
    <t>공정용수</t>
  </si>
  <si>
    <t>자체처리</t>
  </si>
  <si>
    <t>T-N</t>
  </si>
  <si>
    <t>방류</t>
  </si>
  <si>
    <t>T-P</t>
  </si>
  <si>
    <t>폐기물</t>
  </si>
  <si>
    <t>구분
(일반/지정 폐기물)</t>
  </si>
  <si>
    <t>처리방법
(매립/소각/재활용/기타)</t>
  </si>
  <si>
    <t>재활용 및 최종폐기 과정 수송</t>
  </si>
  <si>
    <t>물동량</t>
  </si>
  <si>
    <t>고형 배출물</t>
  </si>
  <si>
    <t>폐수오니</t>
  </si>
  <si>
    <t>암석류</t>
  </si>
  <si>
    <t>일반 폐기물</t>
  </si>
  <si>
    <t>매립</t>
  </si>
  <si>
    <t>인천-서울</t>
  </si>
  <si>
    <t>촉매 폐기물</t>
  </si>
  <si>
    <t>흡착제, 필터</t>
  </si>
  <si>
    <t>5. 참고자료</t>
  </si>
  <si>
    <t>'2. 데이터 수집 범위', '3. 투입물 데이터 수집' 및 '4. 산출물 데이터 수집' 시트 작성시, 각 데이터(예: 수송, 에너지, 대기배출물 등)에 대한 참고자료의 정보를 하단의 양식에 기재한 후, 참고자료(예: 대기배출시설 허가증)와 함께 제출</t>
  </si>
  <si>
    <t>이 외에 참고 가능한 자료 존재 시 항목 추가</t>
  </si>
  <si>
    <t>항목</t>
  </si>
  <si>
    <t>자료 유형</t>
  </si>
  <si>
    <t>참고자료 제출시 파일명</t>
  </si>
  <si>
    <t>수집내용</t>
  </si>
  <si>
    <t>내부 기술 보고서</t>
  </si>
  <si>
    <t>B공정_흐름도_보고서_2021</t>
  </si>
  <si>
    <t>전체 공정 단계 도식화, 주요 설비 구성</t>
  </si>
  <si>
    <t>공정 설명</t>
  </si>
  <si>
    <t>작업 매뉴얼</t>
  </si>
  <si>
    <t>B공정_작업지침서_2021</t>
  </si>
  <si>
    <t>각공정별 설명, 작업자 지침</t>
  </si>
  <si>
    <t>원료물질 및 보조물질</t>
  </si>
  <si>
    <t>구매 명세서</t>
  </si>
  <si>
    <t>B공정_원재료_구매리스트_2023</t>
  </si>
  <si>
    <t>원료 및 보조 물질 구성 및 사용량</t>
  </si>
  <si>
    <t>전기 사용량 고지서,설비운전 기록</t>
  </si>
  <si>
    <t>B공정_전기사용_고지서_2023</t>
  </si>
  <si>
    <t>월별 전기사용량</t>
  </si>
  <si>
    <t>연료 공급 계약서 설비 연료 사용기록</t>
  </si>
  <si>
    <t>B공정_도시가스_사용량_2023</t>
  </si>
  <si>
    <t>월별 LNG사용량</t>
  </si>
  <si>
    <t>유지 및 보수</t>
  </si>
  <si>
    <t>유지보수 이력서</t>
  </si>
  <si>
    <t>B공정_정기점검_기록_2023</t>
  </si>
  <si>
    <t>C설비 정기점검 및 교체부품 내역</t>
  </si>
  <si>
    <t>생산보고서</t>
  </si>
  <si>
    <t>B공정_제품출하_기록_2023</t>
  </si>
  <si>
    <t>제품 및 부산물 생산량</t>
  </si>
  <si>
    <t>대기배출시설 허가증</t>
  </si>
  <si>
    <t>A기업_대기배출시설 설치 허가증_2020</t>
  </si>
  <si>
    <t>먼지, SOx, NOx 발생량</t>
  </si>
  <si>
    <t>폐수배출시설 설치 신고증명서</t>
  </si>
  <si>
    <t>A기업_폐수배출시설 설치 신고증명서_2023</t>
  </si>
  <si>
    <t>COD,BOD,SS,T-N,T-P 배출량</t>
  </si>
  <si>
    <t>폐기물처리업 변경허가 신청서</t>
  </si>
  <si>
    <t>B공정_폐기물_관리기록_2023</t>
  </si>
  <si>
    <t>폐기물 발생량</t>
  </si>
  <si>
    <t>...</t>
  </si>
  <si>
    <t>에너지</t>
    <phoneticPr fontId="35" type="noConversion"/>
  </si>
  <si>
    <t>고형 배출물</t>
    <phoneticPr fontId="35" type="noConversion"/>
  </si>
  <si>
    <t>원료 물질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</si>
</sst>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36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더잠실 3 Regular"/>
      <family val="3"/>
      <charset val="129"/>
    </font>
    <font>
      <sz val="9"/>
      <color rgb="FF212121"/>
      <name val="더잠실 3 Regular"/>
      <family val="3"/>
      <charset val="129"/>
    </font>
    <font>
      <sz val="9"/>
      <color rgb="FF000000"/>
      <name val="더잠실 3 Regular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더잠실 3 Regular"/>
      <family val="3"/>
      <charset val="129"/>
    </font>
    <font>
      <sz val="8"/>
      <color rgb="FFFF0000"/>
      <name val="더잠실 3 Regular"/>
      <family val="3"/>
      <charset val="129"/>
    </font>
    <font>
      <sz val="8"/>
      <color rgb="FFFF0000"/>
      <name val="Arial"/>
      <family val="2"/>
    </font>
    <font>
      <sz val="14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212121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6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i/>
      <sz val="9"/>
      <color rgb="FF0070C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i/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21"/>
      <color rgb="FF000000"/>
      <name val="HY헤드라인M"/>
      <family val="1"/>
      <charset val="129"/>
    </font>
    <font>
      <b/>
      <sz val="24"/>
      <color rgb="FF000000"/>
      <name val="맑은 고딕"/>
      <family val="3"/>
      <charset val="129"/>
    </font>
    <font>
      <b/>
      <sz val="9"/>
      <color rgb="FF212121"/>
      <name val="더잠실 3 Regular"/>
      <family val="3"/>
      <charset val="129"/>
    </font>
    <font>
      <b/>
      <sz val="14"/>
      <color rgb="FF212121"/>
      <name val="맑은 고딕"/>
      <family val="3"/>
      <charset val="129"/>
    </font>
    <font>
      <b/>
      <sz val="11"/>
      <color rgb="FF212121"/>
      <name val="맑은 고딕"/>
      <family val="3"/>
      <charset val="129"/>
    </font>
    <font>
      <sz val="6"/>
      <color rgb="FFFF0000"/>
      <name val="더잠실 3 Regular"/>
      <family val="3"/>
      <charset val="129"/>
    </font>
    <font>
      <sz val="6"/>
      <color rgb="FF212121"/>
      <name val="더잠실 3 Regular"/>
      <family val="3"/>
      <charset val="129"/>
    </font>
    <font>
      <b/>
      <sz val="6"/>
      <color rgb="FF212121"/>
      <name val="더잠실 3 Regular"/>
      <family val="3"/>
      <charset val="129"/>
    </font>
    <font>
      <b/>
      <sz val="9"/>
      <color rgb="FF000000"/>
      <name val="더잠실 3 Regular"/>
      <family val="3"/>
      <charset val="129"/>
    </font>
    <font>
      <sz val="6"/>
      <color rgb="FF000000"/>
      <name val="더잠실 3 Regular"/>
      <family val="3"/>
      <charset val="129"/>
    </font>
    <font>
      <sz val="6"/>
      <color rgb="FF000000"/>
      <name val="맑은 고딕"/>
      <family val="3"/>
      <charset val="129"/>
    </font>
    <font>
      <b/>
      <sz val="33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808080"/>
        <bgColor indexed="64"/>
      </patternFill>
    </fill>
    <fill>
      <patternFill patternType="gray125">
        <fgColor rgb="FF000000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D9E9FA"/>
        <bgColor indexed="64"/>
      </patternFill>
    </fill>
  </fills>
  <borders count="169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/>
      <top style="hair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 style="dotted">
        <color auto="1"/>
      </left>
      <right/>
      <top style="thin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auto="1"/>
      </left>
      <right/>
      <top style="hair">
        <color auto="1"/>
      </top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dotted">
        <color auto="1"/>
      </right>
      <top style="hair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/>
      <top style="dott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otted">
        <color auto="1"/>
      </bottom>
      <diagonal/>
    </border>
    <border>
      <left style="dashed">
        <color auto="1"/>
      </left>
      <right/>
      <top style="thin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dashed">
        <color auto="1"/>
      </right>
      <top style="dott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dotted">
        <color auto="1"/>
      </bottom>
      <diagonal/>
    </border>
    <border>
      <left style="dashed">
        <color auto="1"/>
      </left>
      <right style="dashed">
        <color auto="1"/>
      </right>
      <top/>
      <bottom style="dotted">
        <color auto="1"/>
      </bottom>
      <diagonal/>
    </border>
    <border>
      <left style="dashed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 style="dotted">
        <color auto="1"/>
      </right>
      <top/>
      <bottom style="dotted">
        <color auto="1"/>
      </bottom>
      <diagonal/>
    </border>
    <border>
      <left style="dash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ash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dash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ashed">
        <color auto="1"/>
      </bottom>
      <diagonal/>
    </border>
    <border>
      <left/>
      <right style="dotted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ashed">
        <color auto="1"/>
      </left>
      <right style="dotted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/>
      <diagonal/>
    </border>
    <border>
      <left/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 style="medium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hair">
        <color auto="1"/>
      </bottom>
      <diagonal/>
    </border>
    <border>
      <left/>
      <right style="dotted">
        <color auto="1"/>
      </right>
      <top style="hair">
        <color auto="1"/>
      </top>
      <bottom style="medium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dotted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dash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76" fontId="1" fillId="0" borderId="0">
      <alignment vertical="center"/>
    </xf>
  </cellStyleXfs>
  <cellXfs count="43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6" fillId="0" borderId="7" xfId="0" applyFont="1" applyBorder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8" xfId="0" applyFont="1" applyBorder="1">
      <alignment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7" xfId="0" applyFont="1" applyBorder="1">
      <alignment vertical="center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10" fontId="6" fillId="0" borderId="2" xfId="0" applyNumberFormat="1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vertical="center" wrapText="1"/>
    </xf>
    <xf numFmtId="0" fontId="3" fillId="4" borderId="9" xfId="0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6" borderId="0" xfId="0" applyFill="1">
      <alignment vertical="center"/>
    </xf>
    <xf numFmtId="0" fontId="9" fillId="0" borderId="17" xfId="0" applyFont="1" applyBorder="1">
      <alignment vertical="center"/>
    </xf>
    <xf numFmtId="0" fontId="10" fillId="0" borderId="18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9" xfId="0" applyBorder="1">
      <alignment vertical="center"/>
    </xf>
    <xf numFmtId="0" fontId="0" fillId="7" borderId="0" xfId="0" applyFill="1">
      <alignment vertical="center"/>
    </xf>
    <xf numFmtId="0" fontId="5" fillId="0" borderId="19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4" fillId="8" borderId="0" xfId="0" applyFont="1" applyFill="1">
      <alignment vertical="center"/>
    </xf>
    <xf numFmtId="0" fontId="0" fillId="8" borderId="20" xfId="0" applyFill="1" applyBorder="1">
      <alignment vertical="center"/>
    </xf>
    <xf numFmtId="0" fontId="0" fillId="8" borderId="0" xfId="0" applyFill="1">
      <alignment vertical="center"/>
    </xf>
    <xf numFmtId="0" fontId="5" fillId="8" borderId="20" xfId="0" applyFont="1" applyFill="1" applyBorder="1" applyAlignment="1">
      <alignment horizontal="left" vertical="center"/>
    </xf>
    <xf numFmtId="0" fontId="9" fillId="8" borderId="17" xfId="0" applyFont="1" applyFill="1" applyBorder="1">
      <alignment vertical="center"/>
    </xf>
    <xf numFmtId="0" fontId="13" fillId="8" borderId="20" xfId="0" applyFont="1" applyFill="1" applyBorder="1" applyAlignment="1">
      <alignment horizontal="left" vertical="center"/>
    </xf>
    <xf numFmtId="0" fontId="10" fillId="8" borderId="0" xfId="0" applyFont="1" applyFill="1" applyAlignment="1">
      <alignment horizontal="right" vertical="center"/>
    </xf>
    <xf numFmtId="0" fontId="10" fillId="8" borderId="18" xfId="0" applyFont="1" applyFill="1" applyBorder="1">
      <alignment vertical="center"/>
    </xf>
    <xf numFmtId="0" fontId="10" fillId="8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right" vertical="center"/>
    </xf>
    <xf numFmtId="0" fontId="5" fillId="8" borderId="0" xfId="0" applyFont="1" applyFill="1" applyAlignment="1">
      <alignment horizontal="left" vertical="center"/>
    </xf>
    <xf numFmtId="0" fontId="5" fillId="8" borderId="17" xfId="0" applyFont="1" applyFill="1" applyBorder="1">
      <alignment vertical="center"/>
    </xf>
    <xf numFmtId="0" fontId="15" fillId="8" borderId="0" xfId="0" applyFont="1" applyFill="1" applyAlignment="1">
      <alignment horizontal="right" vertical="center"/>
    </xf>
    <xf numFmtId="0" fontId="10" fillId="8" borderId="0" xfId="0" applyFont="1" applyFill="1" applyAlignment="1">
      <alignment vertical="top" wrapText="1"/>
    </xf>
    <xf numFmtId="0" fontId="16" fillId="8" borderId="17" xfId="0" applyFont="1" applyFill="1" applyBorder="1">
      <alignment vertical="center"/>
    </xf>
    <xf numFmtId="0" fontId="13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0" fontId="17" fillId="9" borderId="21" xfId="0" applyFont="1" applyFill="1" applyBorder="1" applyAlignment="1">
      <alignment horizontal="center" vertical="center" wrapText="1"/>
    </xf>
    <xf numFmtId="176" fontId="17" fillId="9" borderId="22" xfId="1" applyFont="1" applyFill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/>
    </xf>
    <xf numFmtId="0" fontId="17" fillId="9" borderId="23" xfId="0" quotePrefix="1" applyFont="1" applyFill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 wrapText="1"/>
    </xf>
    <xf numFmtId="0" fontId="17" fillId="9" borderId="25" xfId="0" applyFont="1" applyFill="1" applyBorder="1" applyAlignment="1">
      <alignment horizontal="center" vertical="center"/>
    </xf>
    <xf numFmtId="0" fontId="17" fillId="9" borderId="26" xfId="0" quotePrefix="1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5" fillId="0" borderId="27" xfId="0" applyFont="1" applyBorder="1" applyAlignment="1">
      <alignment horizontal="center" vertical="top"/>
    </xf>
    <xf numFmtId="0" fontId="5" fillId="9" borderId="28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horizontal="center" vertical="center"/>
    </xf>
    <xf numFmtId="0" fontId="5" fillId="9" borderId="27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17" fillId="9" borderId="28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176" fontId="17" fillId="9" borderId="31" xfId="1" applyFont="1" applyFill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/>
    </xf>
    <xf numFmtId="0" fontId="17" fillId="9" borderId="29" xfId="0" applyFont="1" applyFill="1" applyBorder="1" applyAlignment="1">
      <alignment horizontal="center" vertical="center"/>
    </xf>
    <xf numFmtId="0" fontId="17" fillId="9" borderId="33" xfId="0" applyFont="1" applyFill="1" applyBorder="1" applyAlignment="1">
      <alignment horizontal="center" vertical="center"/>
    </xf>
    <xf numFmtId="176" fontId="17" fillId="9" borderId="33" xfId="1" applyFont="1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5" fillId="9" borderId="35" xfId="0" applyFont="1" applyFill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5" fillId="9" borderId="38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17" fillId="9" borderId="39" xfId="0" applyFont="1" applyFill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5" fillId="9" borderId="4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top"/>
    </xf>
    <xf numFmtId="0" fontId="5" fillId="9" borderId="44" xfId="0" applyFont="1" applyFill="1" applyBorder="1" applyAlignment="1">
      <alignment horizontal="center" vertical="center"/>
    </xf>
    <xf numFmtId="0" fontId="5" fillId="9" borderId="45" xfId="0" applyFont="1" applyFill="1" applyBorder="1" applyAlignment="1">
      <alignment horizontal="center" vertical="center"/>
    </xf>
    <xf numFmtId="0" fontId="5" fillId="9" borderId="46" xfId="0" applyFont="1" applyFill="1" applyBorder="1" applyAlignment="1">
      <alignment horizontal="center" vertical="top"/>
    </xf>
    <xf numFmtId="0" fontId="17" fillId="9" borderId="47" xfId="0" applyFont="1" applyFill="1" applyBorder="1" applyAlignment="1">
      <alignment horizontal="center" vertical="center"/>
    </xf>
    <xf numFmtId="0" fontId="17" fillId="9" borderId="48" xfId="0" applyFont="1" applyFill="1" applyBorder="1" applyAlignment="1">
      <alignment horizontal="center" vertical="center"/>
    </xf>
    <xf numFmtId="0" fontId="17" fillId="9" borderId="49" xfId="0" applyFont="1" applyFill="1" applyBorder="1" applyAlignment="1">
      <alignment horizontal="center" vertical="center"/>
    </xf>
    <xf numFmtId="0" fontId="17" fillId="9" borderId="50" xfId="0" applyFont="1" applyFill="1" applyBorder="1" applyAlignment="1">
      <alignment horizontal="center" vertical="center"/>
    </xf>
    <xf numFmtId="0" fontId="5" fillId="9" borderId="51" xfId="0" applyFont="1" applyFill="1" applyBorder="1" applyAlignment="1">
      <alignment horizontal="center" vertical="top"/>
    </xf>
    <xf numFmtId="0" fontId="5" fillId="9" borderId="52" xfId="0" applyFont="1" applyFill="1" applyBorder="1" applyAlignment="1">
      <alignment horizontal="center" vertical="top"/>
    </xf>
    <xf numFmtId="3" fontId="17" fillId="9" borderId="22" xfId="0" applyNumberFormat="1" applyFont="1" applyFill="1" applyBorder="1" applyAlignment="1">
      <alignment horizontal="center" vertical="center"/>
    </xf>
    <xf numFmtId="0" fontId="5" fillId="9" borderId="53" xfId="0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/>
    </xf>
    <xf numFmtId="0" fontId="5" fillId="9" borderId="55" xfId="0" applyFont="1" applyFill="1" applyBorder="1" applyAlignment="1">
      <alignment horizontal="center" vertical="center"/>
    </xf>
    <xf numFmtId="0" fontId="5" fillId="9" borderId="5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9" borderId="57" xfId="0" applyFont="1" applyFill="1" applyBorder="1" applyAlignment="1">
      <alignment horizontal="center" vertical="center"/>
    </xf>
    <xf numFmtId="0" fontId="5" fillId="9" borderId="58" xfId="0" applyFont="1" applyFill="1" applyBorder="1" applyAlignment="1">
      <alignment horizontal="center" vertical="center"/>
    </xf>
    <xf numFmtId="0" fontId="5" fillId="9" borderId="59" xfId="0" applyFont="1" applyFill="1" applyBorder="1" applyAlignment="1">
      <alignment horizontal="center" vertical="center"/>
    </xf>
    <xf numFmtId="0" fontId="17" fillId="9" borderId="60" xfId="0" applyFont="1" applyFill="1" applyBorder="1" applyAlignment="1">
      <alignment horizontal="center" vertical="center"/>
    </xf>
    <xf numFmtId="0" fontId="17" fillId="9" borderId="61" xfId="0" applyFont="1" applyFill="1" applyBorder="1" applyAlignment="1">
      <alignment horizontal="center" vertical="center"/>
    </xf>
    <xf numFmtId="176" fontId="17" fillId="9" borderId="47" xfId="1" applyFont="1" applyFill="1" applyBorder="1" applyAlignment="1">
      <alignment horizontal="center" vertical="center"/>
    </xf>
    <xf numFmtId="176" fontId="17" fillId="9" borderId="54" xfId="1" applyFont="1" applyFill="1" applyBorder="1" applyAlignment="1">
      <alignment horizontal="center" vertical="center"/>
    </xf>
    <xf numFmtId="176" fontId="17" fillId="9" borderId="49" xfId="1" applyFont="1" applyFill="1" applyBorder="1" applyAlignment="1">
      <alignment horizontal="center" vertical="center"/>
    </xf>
    <xf numFmtId="0" fontId="5" fillId="9" borderId="62" xfId="0" applyFont="1" applyFill="1" applyBorder="1" applyAlignment="1">
      <alignment horizontal="center" vertical="top"/>
    </xf>
    <xf numFmtId="0" fontId="17" fillId="9" borderId="60" xfId="0" quotePrefix="1" applyFont="1" applyFill="1" applyBorder="1" applyAlignment="1">
      <alignment horizontal="center" vertical="center"/>
    </xf>
    <xf numFmtId="0" fontId="5" fillId="9" borderId="63" xfId="0" applyFont="1" applyFill="1" applyBorder="1" applyAlignment="1">
      <alignment horizontal="center" vertical="center"/>
    </xf>
    <xf numFmtId="0" fontId="5" fillId="9" borderId="64" xfId="0" applyFont="1" applyFill="1" applyBorder="1" applyAlignment="1">
      <alignment horizontal="center" vertical="center"/>
    </xf>
    <xf numFmtId="0" fontId="17" fillId="9" borderId="65" xfId="0" applyFont="1" applyFill="1" applyBorder="1">
      <alignment vertical="center"/>
    </xf>
    <xf numFmtId="176" fontId="17" fillId="9" borderId="66" xfId="1" applyFont="1" applyFill="1" applyBorder="1">
      <alignment vertical="center"/>
    </xf>
    <xf numFmtId="0" fontId="17" fillId="9" borderId="66" xfId="0" quotePrefix="1" applyFont="1" applyFill="1" applyBorder="1" applyAlignment="1">
      <alignment horizontal="center" vertical="center"/>
    </xf>
    <xf numFmtId="3" fontId="17" fillId="9" borderId="23" xfId="0" applyNumberFormat="1" applyFont="1" applyFill="1" applyBorder="1" applyAlignment="1">
      <alignment horizontal="center" vertical="center"/>
    </xf>
    <xf numFmtId="0" fontId="17" fillId="9" borderId="67" xfId="0" applyFont="1" applyFill="1" applyBorder="1" applyAlignment="1">
      <alignment horizontal="center" vertical="center" wrapText="1"/>
    </xf>
    <xf numFmtId="0" fontId="17" fillId="9" borderId="68" xfId="0" applyFont="1" applyFill="1" applyBorder="1" applyAlignment="1">
      <alignment horizontal="center" vertical="center"/>
    </xf>
    <xf numFmtId="0" fontId="17" fillId="9" borderId="20" xfId="0" quotePrefix="1" applyFont="1" applyFill="1" applyBorder="1" applyAlignment="1">
      <alignment horizontal="center" vertical="center"/>
    </xf>
    <xf numFmtId="0" fontId="17" fillId="9" borderId="66" xfId="0" applyFont="1" applyFill="1" applyBorder="1" applyAlignment="1">
      <alignment horizontal="center" vertical="center"/>
    </xf>
    <xf numFmtId="0" fontId="5" fillId="9" borderId="51" xfId="0" applyFont="1" applyFill="1" applyBorder="1" applyAlignment="1">
      <alignment horizontal="center" vertical="center"/>
    </xf>
    <xf numFmtId="0" fontId="5" fillId="9" borderId="52" xfId="0" applyFont="1" applyFill="1" applyBorder="1" applyAlignment="1">
      <alignment horizontal="center" vertical="center"/>
    </xf>
    <xf numFmtId="0" fontId="5" fillId="9" borderId="62" xfId="0" applyFont="1" applyFill="1" applyBorder="1" applyAlignment="1">
      <alignment horizontal="center" vertical="center"/>
    </xf>
    <xf numFmtId="0" fontId="5" fillId="9" borderId="46" xfId="0" applyFont="1" applyFill="1" applyBorder="1" applyAlignment="1">
      <alignment horizontal="center" vertical="center"/>
    </xf>
    <xf numFmtId="0" fontId="5" fillId="9" borderId="69" xfId="0" applyFont="1" applyFill="1" applyBorder="1" applyAlignment="1">
      <alignment horizontal="center" vertical="center"/>
    </xf>
    <xf numFmtId="0" fontId="5" fillId="9" borderId="70" xfId="0" applyFont="1" applyFill="1" applyBorder="1" applyAlignment="1">
      <alignment horizontal="center" vertical="center"/>
    </xf>
    <xf numFmtId="0" fontId="5" fillId="9" borderId="71" xfId="0" applyFont="1" applyFill="1" applyBorder="1" applyAlignment="1">
      <alignment horizontal="center" vertical="center"/>
    </xf>
    <xf numFmtId="0" fontId="19" fillId="8" borderId="72" xfId="0" applyFont="1" applyFill="1" applyBorder="1">
      <alignment vertical="center"/>
    </xf>
    <xf numFmtId="0" fontId="20" fillId="8" borderId="73" xfId="0" applyFont="1" applyFill="1" applyBorder="1" applyAlignment="1">
      <alignment horizontal="center" vertical="center"/>
    </xf>
    <xf numFmtId="0" fontId="19" fillId="8" borderId="74" xfId="0" applyFont="1" applyFill="1" applyBorder="1">
      <alignment vertical="center"/>
    </xf>
    <xf numFmtId="0" fontId="20" fillId="8" borderId="43" xfId="0" applyFont="1" applyFill="1" applyBorder="1" applyAlignment="1">
      <alignment horizontal="center" vertical="center"/>
    </xf>
    <xf numFmtId="0" fontId="10" fillId="8" borderId="18" xfId="0" applyFont="1" applyFill="1" applyBorder="1" applyAlignment="1">
      <alignment vertical="top" wrapText="1"/>
    </xf>
    <xf numFmtId="0" fontId="10" fillId="8" borderId="0" xfId="0" applyFont="1" applyFill="1" applyAlignment="1">
      <alignment vertical="top"/>
    </xf>
    <xf numFmtId="0" fontId="5" fillId="9" borderId="0" xfId="0" applyFont="1" applyFill="1">
      <alignment vertical="center"/>
    </xf>
    <xf numFmtId="0" fontId="5" fillId="9" borderId="0" xfId="0" applyFont="1" applyFill="1" applyAlignment="1">
      <alignment horizontal="right" vertical="center"/>
    </xf>
    <xf numFmtId="0" fontId="0" fillId="9" borderId="0" xfId="0" applyFill="1">
      <alignment vertical="center"/>
    </xf>
    <xf numFmtId="0" fontId="12" fillId="9" borderId="0" xfId="0" applyFont="1" applyFill="1">
      <alignment vertical="center"/>
    </xf>
    <xf numFmtId="0" fontId="5" fillId="9" borderId="75" xfId="0" applyFont="1" applyFill="1" applyBorder="1" applyAlignment="1">
      <alignment horizontal="left" vertical="center" wrapText="1"/>
    </xf>
    <xf numFmtId="0" fontId="5" fillId="9" borderId="76" xfId="0" applyFont="1" applyFill="1" applyBorder="1" applyAlignment="1">
      <alignment horizontal="left" vertical="center" wrapText="1"/>
    </xf>
    <xf numFmtId="0" fontId="5" fillId="9" borderId="76" xfId="0" applyFont="1" applyFill="1" applyBorder="1" applyAlignment="1">
      <alignment horizontal="left" vertical="center"/>
    </xf>
    <xf numFmtId="0" fontId="5" fillId="9" borderId="75" xfId="0" applyFont="1" applyFill="1" applyBorder="1" applyAlignment="1">
      <alignment horizontal="left" vertical="center"/>
    </xf>
    <xf numFmtId="0" fontId="5" fillId="9" borderId="77" xfId="0" applyFont="1" applyFill="1" applyBorder="1" applyAlignment="1">
      <alignment horizontal="left" vertical="center" wrapText="1"/>
    </xf>
    <xf numFmtId="0" fontId="5" fillId="9" borderId="78" xfId="0" applyFont="1" applyFill="1" applyBorder="1" applyAlignment="1">
      <alignment horizontal="left" vertical="center"/>
    </xf>
    <xf numFmtId="10" fontId="5" fillId="9" borderId="78" xfId="0" applyNumberFormat="1" applyFont="1" applyFill="1" applyBorder="1" applyAlignment="1">
      <alignment horizontal="left" vertical="center"/>
    </xf>
    <xf numFmtId="3" fontId="5" fillId="9" borderId="78" xfId="0" applyNumberFormat="1" applyFont="1" applyFill="1" applyBorder="1" applyAlignment="1">
      <alignment horizontal="left" vertical="center"/>
    </xf>
    <xf numFmtId="0" fontId="5" fillId="9" borderId="79" xfId="0" applyFont="1" applyFill="1" applyBorder="1" applyAlignment="1">
      <alignment horizontal="left" vertical="center"/>
    </xf>
    <xf numFmtId="0" fontId="21" fillId="9" borderId="76" xfId="0" applyFont="1" applyFill="1" applyBorder="1" applyAlignment="1">
      <alignment horizontal="left" vertical="center"/>
    </xf>
    <xf numFmtId="0" fontId="5" fillId="9" borderId="80" xfId="0" applyFont="1" applyFill="1" applyBorder="1" applyAlignment="1">
      <alignment horizontal="left" vertical="center" wrapText="1"/>
    </xf>
    <xf numFmtId="0" fontId="5" fillId="9" borderId="77" xfId="0" applyFont="1" applyFill="1" applyBorder="1" applyAlignment="1">
      <alignment horizontal="left" vertical="center"/>
    </xf>
    <xf numFmtId="0" fontId="5" fillId="9" borderId="81" xfId="0" applyFont="1" applyFill="1" applyBorder="1" applyAlignment="1">
      <alignment horizontal="center" vertical="center"/>
    </xf>
    <xf numFmtId="0" fontId="5" fillId="8" borderId="73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5" fillId="9" borderId="21" xfId="0" applyFont="1" applyFill="1" applyBorder="1" applyAlignment="1">
      <alignment horizontal="center" vertical="center" wrapText="1"/>
    </xf>
    <xf numFmtId="0" fontId="17" fillId="9" borderId="75" xfId="0" applyFont="1" applyFill="1" applyBorder="1" applyAlignment="1">
      <alignment horizontal="left" vertical="center"/>
    </xf>
    <xf numFmtId="0" fontId="17" fillId="9" borderId="78" xfId="0" applyFont="1" applyFill="1" applyBorder="1" applyAlignment="1">
      <alignment horizontal="left" vertical="center"/>
    </xf>
    <xf numFmtId="0" fontId="17" fillId="9" borderId="76" xfId="0" applyFont="1" applyFill="1" applyBorder="1" applyAlignment="1">
      <alignment horizontal="left" vertical="center"/>
    </xf>
    <xf numFmtId="10" fontId="17" fillId="9" borderId="78" xfId="0" applyNumberFormat="1" applyFont="1" applyFill="1" applyBorder="1" applyAlignment="1">
      <alignment horizontal="left" vertical="center"/>
    </xf>
    <xf numFmtId="0" fontId="17" fillId="9" borderId="76" xfId="0" applyFont="1" applyFill="1" applyBorder="1" applyAlignment="1">
      <alignment horizontal="left" vertical="center" wrapText="1"/>
    </xf>
    <xf numFmtId="0" fontId="17" fillId="9" borderId="75" xfId="0" applyFont="1" applyFill="1" applyBorder="1" applyAlignment="1">
      <alignment horizontal="left" vertical="center" wrapText="1"/>
    </xf>
    <xf numFmtId="3" fontId="17" fillId="9" borderId="78" xfId="0" applyNumberFormat="1" applyFont="1" applyFill="1" applyBorder="1" applyAlignment="1">
      <alignment horizontal="left" vertical="center"/>
    </xf>
    <xf numFmtId="0" fontId="17" fillId="9" borderId="80" xfId="0" applyFont="1" applyFill="1" applyBorder="1" applyAlignment="1">
      <alignment horizontal="left" vertical="center" wrapText="1"/>
    </xf>
    <xf numFmtId="0" fontId="17" fillId="9" borderId="77" xfId="0" applyFont="1" applyFill="1" applyBorder="1" applyAlignment="1">
      <alignment horizontal="left" vertical="center" wrapText="1"/>
    </xf>
    <xf numFmtId="0" fontId="17" fillId="9" borderId="77" xfId="0" applyFont="1" applyFill="1" applyBorder="1" applyAlignment="1">
      <alignment horizontal="left" vertical="center"/>
    </xf>
    <xf numFmtId="0" fontId="17" fillId="9" borderId="79" xfId="0" applyFont="1" applyFill="1" applyBorder="1" applyAlignment="1">
      <alignment horizontal="left" vertical="center"/>
    </xf>
    <xf numFmtId="0" fontId="21" fillId="10" borderId="82" xfId="0" applyFont="1" applyFill="1" applyBorder="1" applyAlignment="1">
      <alignment horizontal="center" vertical="center"/>
    </xf>
    <xf numFmtId="0" fontId="21" fillId="10" borderId="83" xfId="0" applyFont="1" applyFill="1" applyBorder="1" applyAlignment="1">
      <alignment horizontal="center" vertical="center"/>
    </xf>
    <xf numFmtId="0" fontId="21" fillId="10" borderId="84" xfId="0" applyFont="1" applyFill="1" applyBorder="1" applyAlignment="1">
      <alignment horizontal="center" vertical="center"/>
    </xf>
    <xf numFmtId="0" fontId="21" fillId="10" borderId="83" xfId="0" applyFont="1" applyFill="1" applyBorder="1" applyAlignment="1">
      <alignment horizontal="center" vertical="center" wrapText="1"/>
    </xf>
    <xf numFmtId="0" fontId="21" fillId="10" borderId="85" xfId="0" applyFont="1" applyFill="1" applyBorder="1" applyAlignment="1">
      <alignment horizontal="center" vertical="center"/>
    </xf>
    <xf numFmtId="0" fontId="21" fillId="10" borderId="85" xfId="0" applyFont="1" applyFill="1" applyBorder="1" applyAlignment="1">
      <alignment horizontal="center" vertical="center" wrapText="1"/>
    </xf>
    <xf numFmtId="0" fontId="21" fillId="10" borderId="86" xfId="0" applyFont="1" applyFill="1" applyBorder="1" applyAlignment="1">
      <alignment horizontal="center" vertical="center"/>
    </xf>
    <xf numFmtId="0" fontId="21" fillId="10" borderId="87" xfId="0" applyFont="1" applyFill="1" applyBorder="1" applyAlignment="1">
      <alignment horizontal="center" vertical="center"/>
    </xf>
    <xf numFmtId="0" fontId="21" fillId="10" borderId="88" xfId="0" applyFont="1" applyFill="1" applyBorder="1" applyAlignment="1">
      <alignment horizontal="center" vertical="center"/>
    </xf>
    <xf numFmtId="0" fontId="21" fillId="10" borderId="89" xfId="0" applyFont="1" applyFill="1" applyBorder="1" applyAlignment="1">
      <alignment horizontal="center" vertical="center"/>
    </xf>
    <xf numFmtId="0" fontId="21" fillId="10" borderId="90" xfId="0" applyFont="1" applyFill="1" applyBorder="1" applyAlignment="1">
      <alignment horizontal="center" vertical="center"/>
    </xf>
    <xf numFmtId="0" fontId="21" fillId="10" borderId="91" xfId="0" applyFont="1" applyFill="1" applyBorder="1" applyAlignment="1">
      <alignment horizontal="center" vertical="center"/>
    </xf>
    <xf numFmtId="0" fontId="21" fillId="10" borderId="92" xfId="0" applyFont="1" applyFill="1" applyBorder="1" applyAlignment="1">
      <alignment horizontal="center" vertical="center"/>
    </xf>
    <xf numFmtId="0" fontId="21" fillId="10" borderId="93" xfId="0" applyFont="1" applyFill="1" applyBorder="1" applyAlignment="1">
      <alignment horizontal="center" vertical="center"/>
    </xf>
    <xf numFmtId="0" fontId="21" fillId="10" borderId="94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21" fillId="10" borderId="95" xfId="0" applyFont="1" applyFill="1" applyBorder="1" applyAlignment="1">
      <alignment horizontal="center" vertical="center"/>
    </xf>
    <xf numFmtId="0" fontId="21" fillId="10" borderId="96" xfId="0" applyFont="1" applyFill="1" applyBorder="1" applyAlignment="1">
      <alignment horizontal="center" vertical="center"/>
    </xf>
    <xf numFmtId="0" fontId="13" fillId="8" borderId="0" xfId="0" applyFont="1" applyFill="1" applyAlignment="1">
      <alignment horizontal="right" vertical="center"/>
    </xf>
    <xf numFmtId="0" fontId="0" fillId="0" borderId="97" xfId="0" applyBorder="1">
      <alignment vertical="center"/>
    </xf>
    <xf numFmtId="0" fontId="22" fillId="0" borderId="0" xfId="0" applyFont="1" applyAlignment="1">
      <alignment horizontal="center" vertical="center"/>
    </xf>
    <xf numFmtId="0" fontId="21" fillId="9" borderId="98" xfId="0" quotePrefix="1" applyFont="1" applyFill="1" applyBorder="1" applyAlignment="1">
      <alignment horizontal="center" vertical="center" wrapText="1"/>
    </xf>
    <xf numFmtId="0" fontId="21" fillId="9" borderId="99" xfId="0" quotePrefix="1" applyFont="1" applyFill="1" applyBorder="1" applyAlignment="1">
      <alignment horizontal="center" vertical="center" wrapText="1"/>
    </xf>
    <xf numFmtId="0" fontId="17" fillId="9" borderId="100" xfId="0" applyFont="1" applyFill="1" applyBorder="1" applyAlignment="1">
      <alignment horizontal="center" vertical="center"/>
    </xf>
    <xf numFmtId="0" fontId="17" fillId="9" borderId="101" xfId="0" applyFont="1" applyFill="1" applyBorder="1" applyAlignment="1">
      <alignment horizontal="center" vertical="center" wrapText="1"/>
    </xf>
    <xf numFmtId="0" fontId="17" fillId="9" borderId="102" xfId="0" applyFont="1" applyFill="1" applyBorder="1" applyAlignment="1">
      <alignment horizontal="center" vertical="center"/>
    </xf>
    <xf numFmtId="0" fontId="17" fillId="9" borderId="102" xfId="0" quotePrefix="1" applyFont="1" applyFill="1" applyBorder="1" applyAlignment="1">
      <alignment horizontal="center" vertical="center"/>
    </xf>
    <xf numFmtId="0" fontId="17" fillId="9" borderId="98" xfId="0" quotePrefix="1" applyFont="1" applyFill="1" applyBorder="1" applyAlignment="1">
      <alignment horizontal="center" vertical="center"/>
    </xf>
    <xf numFmtId="3" fontId="17" fillId="11" borderId="22" xfId="0" applyNumberFormat="1" applyFont="1" applyFill="1" applyBorder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176" fontId="17" fillId="11" borderId="47" xfId="1" applyFont="1" applyFill="1" applyBorder="1" applyAlignment="1">
      <alignment horizontal="center" vertical="center"/>
    </xf>
    <xf numFmtId="0" fontId="17" fillId="11" borderId="47" xfId="0" applyFont="1" applyFill="1" applyBorder="1" applyAlignment="1">
      <alignment horizontal="center" vertical="center"/>
    </xf>
    <xf numFmtId="0" fontId="17" fillId="11" borderId="61" xfId="0" applyFont="1" applyFill="1" applyBorder="1" applyAlignment="1">
      <alignment horizontal="center" vertical="center"/>
    </xf>
    <xf numFmtId="176" fontId="17" fillId="11" borderId="66" xfId="1" applyFont="1" applyFill="1" applyBorder="1">
      <alignment vertical="center"/>
    </xf>
    <xf numFmtId="0" fontId="17" fillId="11" borderId="66" xfId="0" quotePrefix="1" applyFont="1" applyFill="1" applyBorder="1" applyAlignment="1">
      <alignment horizontal="center" vertical="center"/>
    </xf>
    <xf numFmtId="0" fontId="17" fillId="11" borderId="66" xfId="0" applyFont="1" applyFill="1" applyBorder="1" applyAlignment="1">
      <alignment horizontal="center" vertical="center"/>
    </xf>
    <xf numFmtId="0" fontId="17" fillId="11" borderId="23" xfId="0" applyFont="1" applyFill="1" applyBorder="1" applyAlignment="1">
      <alignment horizontal="center" vertical="center"/>
    </xf>
    <xf numFmtId="3" fontId="17" fillId="11" borderId="23" xfId="0" applyNumberFormat="1" applyFont="1" applyFill="1" applyBorder="1" applyAlignment="1">
      <alignment horizontal="center" vertical="center"/>
    </xf>
    <xf numFmtId="0" fontId="17" fillId="11" borderId="23" xfId="0" quotePrefix="1" applyFont="1" applyFill="1" applyBorder="1" applyAlignment="1">
      <alignment horizontal="center" vertical="center"/>
    </xf>
    <xf numFmtId="0" fontId="17" fillId="11" borderId="22" xfId="0" quotePrefix="1" applyFont="1" applyFill="1" applyBorder="1" applyAlignment="1">
      <alignment horizontal="center" vertical="center"/>
    </xf>
    <xf numFmtId="0" fontId="17" fillId="11" borderId="20" xfId="0" quotePrefix="1" applyFont="1" applyFill="1" applyBorder="1" applyAlignment="1">
      <alignment horizontal="center" vertical="center"/>
    </xf>
    <xf numFmtId="176" fontId="17" fillId="11" borderId="31" xfId="1" applyFont="1" applyFill="1" applyBorder="1" applyAlignment="1">
      <alignment horizontal="center" vertical="center"/>
    </xf>
    <xf numFmtId="0" fontId="17" fillId="11" borderId="32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5" fillId="9" borderId="103" xfId="0" applyFont="1" applyFill="1" applyBorder="1" applyAlignment="1">
      <alignment horizontal="center" vertical="center"/>
    </xf>
    <xf numFmtId="0" fontId="17" fillId="9" borderId="104" xfId="0" applyFont="1" applyFill="1" applyBorder="1" applyAlignment="1">
      <alignment horizontal="center" vertical="center"/>
    </xf>
    <xf numFmtId="176" fontId="17" fillId="11" borderId="104" xfId="1" applyFont="1" applyFill="1" applyBorder="1" applyAlignment="1">
      <alignment horizontal="center" vertical="center"/>
    </xf>
    <xf numFmtId="0" fontId="17" fillId="11" borderId="105" xfId="0" applyFont="1" applyFill="1" applyBorder="1" applyAlignment="1">
      <alignment horizontal="center" vertical="center"/>
    </xf>
    <xf numFmtId="0" fontId="17" fillId="0" borderId="105" xfId="0" applyFont="1" applyBorder="1" applyAlignment="1">
      <alignment horizontal="center" vertical="center"/>
    </xf>
    <xf numFmtId="0" fontId="17" fillId="0" borderId="106" xfId="0" applyFont="1" applyBorder="1" applyAlignment="1">
      <alignment horizontal="center" vertical="center"/>
    </xf>
    <xf numFmtId="0" fontId="17" fillId="0" borderId="107" xfId="0" applyFont="1" applyBorder="1" applyAlignment="1">
      <alignment horizontal="center" vertical="center"/>
    </xf>
    <xf numFmtId="0" fontId="17" fillId="9" borderId="103" xfId="0" applyFont="1" applyFill="1" applyBorder="1" applyAlignment="1">
      <alignment horizontal="center" vertical="center"/>
    </xf>
    <xf numFmtId="176" fontId="17" fillId="9" borderId="104" xfId="1" applyFont="1" applyFill="1" applyBorder="1" applyAlignment="1">
      <alignment horizontal="center" vertical="center"/>
    </xf>
    <xf numFmtId="0" fontId="17" fillId="9" borderId="105" xfId="0" applyFont="1" applyFill="1" applyBorder="1" applyAlignment="1">
      <alignment horizontal="center" vertical="center"/>
    </xf>
    <xf numFmtId="0" fontId="17" fillId="9" borderId="108" xfId="0" applyFont="1" applyFill="1" applyBorder="1" applyAlignment="1">
      <alignment horizontal="center" vertical="center"/>
    </xf>
    <xf numFmtId="0" fontId="17" fillId="9" borderId="36" xfId="0" applyFont="1" applyFill="1" applyBorder="1" applyAlignment="1">
      <alignment horizontal="center" vertical="center"/>
    </xf>
    <xf numFmtId="176" fontId="17" fillId="9" borderId="36" xfId="1" applyFont="1" applyFill="1" applyBorder="1" applyAlignment="1">
      <alignment horizontal="center" vertical="center"/>
    </xf>
    <xf numFmtId="0" fontId="17" fillId="9" borderId="37" xfId="0" applyFont="1" applyFill="1" applyBorder="1" applyAlignment="1">
      <alignment horizontal="center" vertical="center"/>
    </xf>
    <xf numFmtId="0" fontId="17" fillId="9" borderId="109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10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5" fillId="9" borderId="112" xfId="0" applyFont="1" applyFill="1" applyBorder="1" applyAlignment="1">
      <alignment horizontal="center" vertical="center"/>
    </xf>
    <xf numFmtId="0" fontId="5" fillId="9" borderId="113" xfId="0" applyFont="1" applyFill="1" applyBorder="1" applyAlignment="1">
      <alignment horizontal="center" vertical="center"/>
    </xf>
    <xf numFmtId="0" fontId="5" fillId="9" borderId="67" xfId="0" applyFont="1" applyFill="1" applyBorder="1" applyAlignment="1">
      <alignment horizontal="center" vertical="center"/>
    </xf>
    <xf numFmtId="176" fontId="17" fillId="11" borderId="68" xfId="1" applyFont="1" applyFill="1" applyBorder="1" applyAlignment="1">
      <alignment horizontal="center" vertical="center"/>
    </xf>
    <xf numFmtId="0" fontId="17" fillId="11" borderId="68" xfId="0" applyFont="1" applyFill="1" applyBorder="1" applyAlignment="1">
      <alignment horizontal="center" vertical="center"/>
    </xf>
    <xf numFmtId="0" fontId="17" fillId="11" borderId="20" xfId="0" applyFont="1" applyFill="1" applyBorder="1" applyAlignment="1">
      <alignment horizontal="center" vertical="center"/>
    </xf>
    <xf numFmtId="0" fontId="17" fillId="11" borderId="19" xfId="0" applyFont="1" applyFill="1" applyBorder="1" applyAlignment="1">
      <alignment horizontal="center" vertical="center"/>
    </xf>
    <xf numFmtId="0" fontId="17" fillId="11" borderId="114" xfId="0" applyFont="1" applyFill="1" applyBorder="1" applyAlignment="1">
      <alignment horizontal="center" vertical="center"/>
    </xf>
    <xf numFmtId="176" fontId="17" fillId="11" borderId="39" xfId="1" applyFont="1" applyFill="1" applyBorder="1">
      <alignment vertical="center"/>
    </xf>
    <xf numFmtId="0" fontId="17" fillId="11" borderId="39" xfId="0" quotePrefix="1" applyFont="1" applyFill="1" applyBorder="1" applyAlignment="1">
      <alignment horizontal="center" vertical="center"/>
    </xf>
    <xf numFmtId="0" fontId="17" fillId="11" borderId="39" xfId="0" applyFont="1" applyFill="1" applyBorder="1" applyAlignment="1">
      <alignment horizontal="center" vertical="center"/>
    </xf>
    <xf numFmtId="0" fontId="17" fillId="9" borderId="115" xfId="0" applyFont="1" applyFill="1" applyBorder="1">
      <alignment vertical="center"/>
    </xf>
    <xf numFmtId="176" fontId="17" fillId="9" borderId="68" xfId="1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114" xfId="0" applyFont="1" applyFill="1" applyBorder="1" applyAlignment="1">
      <alignment horizontal="center" vertical="center"/>
    </xf>
    <xf numFmtId="176" fontId="17" fillId="9" borderId="39" xfId="1" applyFont="1" applyFill="1" applyBorder="1">
      <alignment vertical="center"/>
    </xf>
    <xf numFmtId="0" fontId="17" fillId="9" borderId="39" xfId="0" quotePrefix="1" applyFont="1" applyFill="1" applyBorder="1" applyAlignment="1">
      <alignment horizontal="center" vertical="center"/>
    </xf>
    <xf numFmtId="176" fontId="17" fillId="11" borderId="49" xfId="1" applyFont="1" applyFill="1" applyBorder="1" applyAlignment="1">
      <alignment horizontal="center" vertical="center"/>
    </xf>
    <xf numFmtId="0" fontId="17" fillId="11" borderId="49" xfId="0" applyFont="1" applyFill="1" applyBorder="1" applyAlignment="1">
      <alignment horizontal="center" vertical="center"/>
    </xf>
    <xf numFmtId="0" fontId="17" fillId="11" borderId="50" xfId="0" applyFont="1" applyFill="1" applyBorder="1" applyAlignment="1">
      <alignment horizontal="center" vertical="center"/>
    </xf>
    <xf numFmtId="0" fontId="17" fillId="11" borderId="116" xfId="0" applyFont="1" applyFill="1" applyBorder="1" applyAlignment="1">
      <alignment horizontal="center" vertical="center"/>
    </xf>
    <xf numFmtId="0" fontId="17" fillId="11" borderId="117" xfId="0" applyFont="1" applyFill="1" applyBorder="1" applyAlignment="1">
      <alignment horizontal="center" vertical="center"/>
    </xf>
    <xf numFmtId="176" fontId="17" fillId="11" borderId="118" xfId="1" applyFont="1" applyFill="1" applyBorder="1">
      <alignment vertical="center"/>
    </xf>
    <xf numFmtId="0" fontId="17" fillId="11" borderId="118" xfId="0" quotePrefix="1" applyFont="1" applyFill="1" applyBorder="1" applyAlignment="1">
      <alignment horizontal="center" vertical="center"/>
    </xf>
    <xf numFmtId="0" fontId="17" fillId="11" borderId="118" xfId="0" applyFont="1" applyFill="1" applyBorder="1" applyAlignment="1">
      <alignment horizontal="center" vertical="center"/>
    </xf>
    <xf numFmtId="0" fontId="17" fillId="9" borderId="119" xfId="0" applyFont="1" applyFill="1" applyBorder="1">
      <alignment vertical="center"/>
    </xf>
    <xf numFmtId="0" fontId="5" fillId="9" borderId="46" xfId="0" applyFont="1" applyFill="1" applyBorder="1" applyAlignment="1">
      <alignment horizontal="center" vertical="top"/>
    </xf>
    <xf numFmtId="0" fontId="5" fillId="9" borderId="63" xfId="0" applyFont="1" applyFill="1" applyBorder="1" applyAlignment="1">
      <alignment horizontal="center" vertical="top"/>
    </xf>
    <xf numFmtId="0" fontId="5" fillId="9" borderId="64" xfId="0" applyFont="1" applyFill="1" applyBorder="1" applyAlignment="1">
      <alignment horizontal="center" vertical="top"/>
    </xf>
    <xf numFmtId="0" fontId="21" fillId="10" borderId="83" xfId="0" applyFont="1" applyFill="1" applyBorder="1" applyAlignment="1">
      <alignment horizontal="center" vertical="center"/>
    </xf>
    <xf numFmtId="0" fontId="21" fillId="10" borderId="141" xfId="0" applyFont="1" applyFill="1" applyBorder="1" applyAlignment="1">
      <alignment horizontal="center" vertical="center"/>
    </xf>
    <xf numFmtId="0" fontId="21" fillId="10" borderId="91" xfId="0" applyFont="1" applyFill="1" applyBorder="1" applyAlignment="1">
      <alignment horizontal="center" vertical="center"/>
    </xf>
    <xf numFmtId="0" fontId="21" fillId="10" borderId="128" xfId="0" applyFont="1" applyFill="1" applyBorder="1" applyAlignment="1">
      <alignment horizontal="center" vertical="center"/>
    </xf>
    <xf numFmtId="0" fontId="21" fillId="10" borderId="142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17" fillId="11" borderId="156" xfId="0" applyFont="1" applyFill="1" applyBorder="1" applyAlignment="1">
      <alignment horizontal="center" vertical="center"/>
    </xf>
    <xf numFmtId="0" fontId="17" fillId="11" borderId="157" xfId="0" applyFont="1" applyFill="1" applyBorder="1" applyAlignment="1">
      <alignment horizontal="center" vertical="center"/>
    </xf>
    <xf numFmtId="0" fontId="17" fillId="9" borderId="48" xfId="0" applyFont="1" applyFill="1" applyBorder="1" applyAlignment="1">
      <alignment horizontal="center" vertical="center"/>
    </xf>
    <xf numFmtId="0" fontId="17" fillId="9" borderId="156" xfId="0" applyFont="1" applyFill="1" applyBorder="1" applyAlignment="1">
      <alignment horizontal="center" vertical="center"/>
    </xf>
    <xf numFmtId="0" fontId="17" fillId="9" borderId="157" xfId="0" applyFont="1" applyFill="1" applyBorder="1" applyAlignment="1">
      <alignment horizontal="center" vertical="center"/>
    </xf>
    <xf numFmtId="0" fontId="17" fillId="9" borderId="50" xfId="0" applyFont="1" applyFill="1" applyBorder="1" applyAlignment="1">
      <alignment horizontal="center" vertical="center"/>
    </xf>
    <xf numFmtId="0" fontId="17" fillId="9" borderId="75" xfId="0" applyFont="1" applyFill="1" applyBorder="1" applyAlignment="1">
      <alignment horizontal="center" vertical="center"/>
    </xf>
    <xf numFmtId="0" fontId="17" fillId="9" borderId="78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154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top"/>
    </xf>
    <xf numFmtId="0" fontId="5" fillId="0" borderId="155" xfId="0" applyFont="1" applyBorder="1" applyAlignment="1">
      <alignment horizontal="center" vertical="top"/>
    </xf>
    <xf numFmtId="0" fontId="17" fillId="0" borderId="34" xfId="0" applyFont="1" applyBorder="1" applyAlignment="1">
      <alignment horizontal="center" vertical="center"/>
    </xf>
    <xf numFmtId="0" fontId="17" fillId="0" borderId="72" xfId="0" applyFont="1" applyBorder="1" applyAlignment="1">
      <alignment horizontal="center" vertical="center"/>
    </xf>
    <xf numFmtId="0" fontId="17" fillId="0" borderId="13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110" xfId="0" applyFont="1" applyBorder="1" applyAlignment="1">
      <alignment horizontal="center" vertical="center"/>
    </xf>
    <xf numFmtId="0" fontId="5" fillId="0" borderId="111" xfId="0" applyFont="1" applyBorder="1" applyAlignment="1">
      <alignment horizontal="center" vertical="center"/>
    </xf>
    <xf numFmtId="0" fontId="21" fillId="10" borderId="85" xfId="0" applyFont="1" applyFill="1" applyBorder="1" applyAlignment="1">
      <alignment horizontal="center" vertical="center" wrapText="1"/>
    </xf>
    <xf numFmtId="0" fontId="21" fillId="10" borderId="85" xfId="0" applyFont="1" applyFill="1" applyBorder="1" applyAlignment="1">
      <alignment horizontal="center" vertical="center"/>
    </xf>
    <xf numFmtId="0" fontId="21" fillId="10" borderId="87" xfId="0" applyFont="1" applyFill="1" applyBorder="1" applyAlignment="1">
      <alignment horizontal="center" vertical="center" wrapText="1"/>
    </xf>
    <xf numFmtId="0" fontId="21" fillId="10" borderId="153" xfId="0" applyFont="1" applyFill="1" applyBorder="1" applyAlignment="1">
      <alignment horizontal="center" vertical="center" wrapText="1"/>
    </xf>
    <xf numFmtId="0" fontId="21" fillId="10" borderId="87" xfId="0" applyFont="1" applyFill="1" applyBorder="1" applyAlignment="1">
      <alignment horizontal="center" vertical="center"/>
    </xf>
    <xf numFmtId="0" fontId="21" fillId="10" borderId="153" xfId="0" applyFont="1" applyFill="1" applyBorder="1" applyAlignment="1">
      <alignment horizontal="center" vertical="center"/>
    </xf>
    <xf numFmtId="0" fontId="21" fillId="10" borderId="84" xfId="0" applyFont="1" applyFill="1" applyBorder="1" applyAlignment="1">
      <alignment horizontal="center" vertical="center"/>
    </xf>
    <xf numFmtId="0" fontId="17" fillId="0" borderId="151" xfId="0" applyFont="1" applyBorder="1" applyAlignment="1">
      <alignment horizontal="center" vertical="center"/>
    </xf>
    <xf numFmtId="0" fontId="17" fillId="0" borderId="152" xfId="0" applyFont="1" applyBorder="1" applyAlignment="1">
      <alignment horizontal="center" vertical="center"/>
    </xf>
    <xf numFmtId="0" fontId="17" fillId="0" borderId="105" xfId="0" applyFont="1" applyBorder="1" applyAlignment="1">
      <alignment horizontal="center" vertical="center"/>
    </xf>
    <xf numFmtId="0" fontId="17" fillId="0" borderId="106" xfId="0" applyFont="1" applyBorder="1" applyAlignment="1">
      <alignment horizontal="center" vertical="center"/>
    </xf>
    <xf numFmtId="0" fontId="17" fillId="0" borderId="107" xfId="0" applyFont="1" applyBorder="1" applyAlignment="1">
      <alignment horizontal="center" vertical="center"/>
    </xf>
    <xf numFmtId="0" fontId="21" fillId="9" borderId="150" xfId="0" quotePrefix="1" applyFont="1" applyFill="1" applyBorder="1" applyAlignment="1">
      <alignment horizontal="center" vertical="center" wrapText="1"/>
    </xf>
    <xf numFmtId="0" fontId="21" fillId="9" borderId="2" xfId="0" quotePrefix="1" applyFont="1" applyFill="1" applyBorder="1" applyAlignment="1">
      <alignment horizontal="center" vertical="center" wrapText="1"/>
    </xf>
    <xf numFmtId="0" fontId="21" fillId="9" borderId="26" xfId="0" quotePrefix="1" applyFont="1" applyFill="1" applyBorder="1" applyAlignment="1">
      <alignment horizontal="center" vertical="center" wrapText="1"/>
    </xf>
    <xf numFmtId="0" fontId="21" fillId="9" borderId="3" xfId="0" quotePrefix="1" applyFont="1" applyFill="1" applyBorder="1" applyAlignment="1">
      <alignment horizontal="center" vertical="center" wrapText="1"/>
    </xf>
    <xf numFmtId="0" fontId="17" fillId="9" borderId="148" xfId="0" quotePrefix="1" applyFont="1" applyFill="1" applyBorder="1" applyAlignment="1">
      <alignment horizontal="center" vertical="center"/>
    </xf>
    <xf numFmtId="0" fontId="17" fillId="9" borderId="149" xfId="0" applyFont="1" applyFill="1" applyBorder="1" applyAlignment="1">
      <alignment horizontal="center" vertical="center"/>
    </xf>
    <xf numFmtId="0" fontId="21" fillId="10" borderId="138" xfId="0" applyFont="1" applyFill="1" applyBorder="1" applyAlignment="1">
      <alignment horizontal="center" vertical="center"/>
    </xf>
    <xf numFmtId="0" fontId="21" fillId="10" borderId="139" xfId="0" applyFont="1" applyFill="1" applyBorder="1" applyAlignment="1">
      <alignment horizontal="center" vertical="center"/>
    </xf>
    <xf numFmtId="0" fontId="21" fillId="10" borderId="140" xfId="0" applyFont="1" applyFill="1" applyBorder="1" applyAlignment="1">
      <alignment horizontal="center" vertical="center"/>
    </xf>
    <xf numFmtId="0" fontId="21" fillId="10" borderId="143" xfId="0" applyFont="1" applyFill="1" applyBorder="1" applyAlignment="1">
      <alignment horizontal="center" vertical="center" wrapText="1"/>
    </xf>
    <xf numFmtId="0" fontId="21" fillId="10" borderId="140" xfId="0" applyFont="1" applyFill="1" applyBorder="1" applyAlignment="1">
      <alignment horizontal="center" vertical="center" wrapText="1"/>
    </xf>
    <xf numFmtId="0" fontId="21" fillId="10" borderId="144" xfId="0" applyFont="1" applyFill="1" applyBorder="1" applyAlignment="1">
      <alignment horizontal="center" vertical="center" wrapText="1"/>
    </xf>
    <xf numFmtId="0" fontId="21" fillId="10" borderId="145" xfId="0" applyFont="1" applyFill="1" applyBorder="1" applyAlignment="1">
      <alignment horizontal="center" vertical="center" wrapText="1"/>
    </xf>
    <xf numFmtId="0" fontId="21" fillId="10" borderId="97" xfId="0" applyFont="1" applyFill="1" applyBorder="1" applyAlignment="1">
      <alignment horizontal="center" vertical="center" wrapText="1"/>
    </xf>
    <xf numFmtId="0" fontId="21" fillId="10" borderId="146" xfId="0" applyFont="1" applyFill="1" applyBorder="1" applyAlignment="1">
      <alignment horizontal="center" vertical="center" wrapText="1"/>
    </xf>
    <xf numFmtId="0" fontId="21" fillId="10" borderId="14" xfId="0" applyFont="1" applyFill="1" applyBorder="1" applyAlignment="1">
      <alignment horizontal="center" vertical="center" wrapText="1"/>
    </xf>
    <xf numFmtId="0" fontId="21" fillId="10" borderId="147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1" fillId="10" borderId="135" xfId="0" applyFont="1" applyFill="1" applyBorder="1" applyAlignment="1">
      <alignment horizontal="center" vertical="center"/>
    </xf>
    <xf numFmtId="0" fontId="21" fillId="10" borderId="136" xfId="0" applyFont="1" applyFill="1" applyBorder="1" applyAlignment="1">
      <alignment horizontal="center" vertical="center"/>
    </xf>
    <xf numFmtId="0" fontId="21" fillId="10" borderId="137" xfId="0" applyFont="1" applyFill="1" applyBorder="1" applyAlignment="1">
      <alignment horizontal="center" vertical="center"/>
    </xf>
    <xf numFmtId="0" fontId="3" fillId="12" borderId="125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22" xfId="0" applyFont="1" applyFill="1" applyBorder="1" applyAlignment="1">
      <alignment horizontal="left" vertical="center"/>
    </xf>
    <xf numFmtId="0" fontId="3" fillId="12" borderId="4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12" borderId="121" xfId="0" applyFont="1" applyFill="1" applyBorder="1" applyAlignment="1">
      <alignment horizontal="left" vertical="center"/>
    </xf>
    <xf numFmtId="0" fontId="3" fillId="12" borderId="9" xfId="0" applyFont="1" applyFill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3" fillId="12" borderId="126" xfId="0" applyFont="1" applyFill="1" applyBorder="1" applyAlignment="1">
      <alignment horizontal="left" vertical="center"/>
    </xf>
    <xf numFmtId="0" fontId="3" fillId="12" borderId="127" xfId="0" applyFont="1" applyFill="1" applyBorder="1" applyAlignment="1">
      <alignment horizontal="left" vertical="center"/>
    </xf>
    <xf numFmtId="0" fontId="3" fillId="2" borderId="121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25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22" xfId="0" applyFont="1" applyFill="1" applyBorder="1" applyAlignment="1">
      <alignment horizontal="left" vertical="center"/>
    </xf>
    <xf numFmtId="0" fontId="4" fillId="2" borderId="12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2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3" borderId="12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22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3" borderId="126" xfId="0" applyFont="1" applyFill="1" applyBorder="1" applyAlignment="1">
      <alignment horizontal="left" vertical="center"/>
    </xf>
    <xf numFmtId="0" fontId="3" fillId="3" borderId="127" xfId="0" applyFont="1" applyFill="1" applyBorder="1" applyAlignment="1">
      <alignment horizontal="left" vertical="center"/>
    </xf>
    <xf numFmtId="0" fontId="3" fillId="3" borderId="125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4" fillId="4" borderId="121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4" fillId="4" borderId="122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3" fillId="0" borderId="120" xfId="0" applyFont="1" applyBorder="1" applyAlignment="1">
      <alignment horizontal="center" vertical="center"/>
    </xf>
    <xf numFmtId="0" fontId="24" fillId="4" borderId="123" xfId="0" applyFont="1" applyFill="1" applyBorder="1" applyAlignment="1">
      <alignment horizontal="center" vertical="center"/>
    </xf>
    <xf numFmtId="0" fontId="3" fillId="4" borderId="58" xfId="0" applyFont="1" applyFill="1" applyBorder="1" applyAlignment="1">
      <alignment horizontal="center" vertical="center"/>
    </xf>
    <xf numFmtId="0" fontId="3" fillId="4" borderId="124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18" fillId="4" borderId="85" xfId="0" applyFont="1" applyFill="1" applyBorder="1" applyAlignment="1">
      <alignment horizontal="center" vertical="center"/>
    </xf>
    <xf numFmtId="0" fontId="0" fillId="0" borderId="85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/>
    </xf>
    <xf numFmtId="0" fontId="25" fillId="4" borderId="15" xfId="0" applyFont="1" applyFill="1" applyBorder="1" applyAlignment="1">
      <alignment horizontal="center" vertical="center"/>
    </xf>
    <xf numFmtId="0" fontId="25" fillId="4" borderId="13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0" xfId="0" applyBorder="1" applyAlignment="1">
      <alignment horizontal="center" vertical="center"/>
    </xf>
    <xf numFmtId="0" fontId="23" fillId="12" borderId="0" xfId="0" applyFont="1" applyFill="1" applyAlignment="1">
      <alignment horizontal="center" vertical="center" wrapText="1"/>
    </xf>
    <xf numFmtId="0" fontId="25" fillId="4" borderId="128" xfId="0" applyFont="1" applyFill="1" applyBorder="1" applyAlignment="1">
      <alignment horizontal="center" vertical="center"/>
    </xf>
    <xf numFmtId="0" fontId="25" fillId="4" borderId="129" xfId="0" applyFont="1" applyFill="1" applyBorder="1" applyAlignment="1">
      <alignment horizontal="center" vertical="center"/>
    </xf>
    <xf numFmtId="0" fontId="9" fillId="0" borderId="128" xfId="0" applyFont="1" applyBorder="1" applyAlignment="1">
      <alignment horizontal="center" vertical="center"/>
    </xf>
    <xf numFmtId="0" fontId="9" fillId="0" borderId="129" xfId="0" applyFont="1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0" fontId="21" fillId="10" borderId="96" xfId="0" applyFont="1" applyFill="1" applyBorder="1" applyAlignment="1">
      <alignment horizontal="center" vertical="center"/>
    </xf>
    <xf numFmtId="0" fontId="21" fillId="10" borderId="134" xfId="0" applyFont="1" applyFill="1" applyBorder="1" applyAlignment="1">
      <alignment horizontal="center" vertical="center"/>
    </xf>
    <xf numFmtId="17" fontId="20" fillId="8" borderId="131" xfId="0" applyNumberFormat="1" applyFont="1" applyFill="1" applyBorder="1" applyAlignment="1">
      <alignment horizontal="left" vertical="center"/>
    </xf>
    <xf numFmtId="0" fontId="20" fillId="8" borderId="132" xfId="0" applyFont="1" applyFill="1" applyBorder="1" applyAlignment="1">
      <alignment horizontal="left" vertical="center"/>
    </xf>
    <xf numFmtId="0" fontId="20" fillId="8" borderId="131" xfId="0" applyFont="1" applyFill="1" applyBorder="1" applyAlignment="1">
      <alignment horizontal="left" vertical="center"/>
    </xf>
    <xf numFmtId="0" fontId="20" fillId="9" borderId="72" xfId="0" applyFont="1" applyFill="1" applyBorder="1" applyAlignment="1">
      <alignment horizontal="left" vertical="center"/>
    </xf>
    <xf numFmtId="0" fontId="20" fillId="9" borderId="133" xfId="0" applyFont="1" applyFill="1" applyBorder="1" applyAlignment="1">
      <alignment horizontal="left" vertical="center"/>
    </xf>
    <xf numFmtId="0" fontId="21" fillId="9" borderId="72" xfId="0" applyFont="1" applyFill="1" applyBorder="1" applyAlignment="1">
      <alignment horizontal="center" vertical="center"/>
    </xf>
    <xf numFmtId="0" fontId="21" fillId="9" borderId="133" xfId="0" applyFont="1" applyFill="1" applyBorder="1" applyAlignment="1">
      <alignment horizontal="center" vertical="center"/>
    </xf>
    <xf numFmtId="0" fontId="17" fillId="11" borderId="165" xfId="0" applyFont="1" applyFill="1" applyBorder="1" applyAlignment="1">
      <alignment horizontal="center" vertical="center"/>
    </xf>
    <xf numFmtId="0" fontId="17" fillId="9" borderId="165" xfId="0" applyFont="1" applyFill="1" applyBorder="1" applyAlignment="1">
      <alignment horizontal="center" vertical="center"/>
    </xf>
    <xf numFmtId="0" fontId="21" fillId="10" borderId="83" xfId="0" applyFont="1" applyFill="1" applyBorder="1" applyAlignment="1">
      <alignment horizontal="center" vertical="center" wrapText="1"/>
    </xf>
    <xf numFmtId="0" fontId="21" fillId="10" borderId="143" xfId="0" applyFont="1" applyFill="1" applyBorder="1" applyAlignment="1">
      <alignment horizontal="center" vertical="center"/>
    </xf>
    <xf numFmtId="0" fontId="21" fillId="10" borderId="144" xfId="0" applyFont="1" applyFill="1" applyBorder="1" applyAlignment="1">
      <alignment horizontal="center" vertical="center"/>
    </xf>
    <xf numFmtId="0" fontId="21" fillId="10" borderId="145" xfId="0" applyFont="1" applyFill="1" applyBorder="1" applyAlignment="1">
      <alignment horizontal="center" vertical="center"/>
    </xf>
    <xf numFmtId="0" fontId="17" fillId="9" borderId="116" xfId="0" applyFont="1" applyFill="1" applyBorder="1" applyAlignment="1">
      <alignment horizontal="center" vertical="center"/>
    </xf>
    <xf numFmtId="0" fontId="17" fillId="9" borderId="167" xfId="0" applyFont="1" applyFill="1" applyBorder="1" applyAlignment="1">
      <alignment horizontal="center" vertical="center"/>
    </xf>
    <xf numFmtId="0" fontId="5" fillId="9" borderId="69" xfId="0" applyFont="1" applyFill="1" applyBorder="1" applyAlignment="1">
      <alignment horizontal="center" vertical="top"/>
    </xf>
    <xf numFmtId="0" fontId="5" fillId="9" borderId="168" xfId="0" applyFont="1" applyFill="1" applyBorder="1" applyAlignment="1">
      <alignment horizontal="center" vertical="center"/>
    </xf>
    <xf numFmtId="0" fontId="5" fillId="9" borderId="63" xfId="0" applyFont="1" applyFill="1" applyBorder="1" applyAlignment="1">
      <alignment horizontal="center" vertical="center"/>
    </xf>
    <xf numFmtId="0" fontId="5" fillId="9" borderId="64" xfId="0" applyFont="1" applyFill="1" applyBorder="1" applyAlignment="1">
      <alignment horizontal="center" vertical="center"/>
    </xf>
    <xf numFmtId="0" fontId="17" fillId="9" borderId="166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9" borderId="155" xfId="0" applyFont="1" applyFill="1" applyBorder="1" applyAlignment="1">
      <alignment horizontal="center" vertical="center"/>
    </xf>
    <xf numFmtId="0" fontId="5" fillId="0" borderId="73" xfId="0" applyFont="1" applyBorder="1" applyAlignment="1">
      <alignment horizontal="center" vertical="top"/>
    </xf>
    <xf numFmtId="0" fontId="5" fillId="0" borderId="160" xfId="0" applyFont="1" applyBorder="1" applyAlignment="1">
      <alignment horizontal="center" vertical="top"/>
    </xf>
    <xf numFmtId="0" fontId="21" fillId="10" borderId="161" xfId="0" applyFont="1" applyFill="1" applyBorder="1" applyAlignment="1">
      <alignment horizontal="center" vertical="center"/>
    </xf>
    <xf numFmtId="0" fontId="21" fillId="10" borderId="162" xfId="0" applyFont="1" applyFill="1" applyBorder="1" applyAlignment="1">
      <alignment horizontal="center" vertical="center"/>
    </xf>
    <xf numFmtId="0" fontId="5" fillId="9" borderId="163" xfId="0" applyFont="1" applyFill="1" applyBorder="1" applyAlignment="1">
      <alignment horizontal="center" vertical="center"/>
    </xf>
    <xf numFmtId="0" fontId="5" fillId="9" borderId="164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10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159" xfId="0" applyFont="1" applyFill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/>
    </xf>
    <xf numFmtId="0" fontId="17" fillId="9" borderId="154" xfId="0" applyFont="1" applyFill="1" applyBorder="1" applyAlignment="1">
      <alignment horizontal="center" vertical="center"/>
    </xf>
    <xf numFmtId="0" fontId="17" fillId="9" borderId="150" xfId="0" quotePrefix="1" applyFont="1" applyFill="1" applyBorder="1" applyAlignment="1">
      <alignment horizontal="center" vertical="center"/>
    </xf>
    <xf numFmtId="0" fontId="17" fillId="9" borderId="1" xfId="0" quotePrefix="1" applyFont="1" applyFill="1" applyBorder="1" applyAlignment="1">
      <alignment horizontal="center" vertical="center"/>
    </xf>
    <xf numFmtId="0" fontId="17" fillId="9" borderId="2" xfId="0" quotePrefix="1" applyFont="1" applyFill="1" applyBorder="1" applyAlignment="1">
      <alignment horizontal="center" vertical="center"/>
    </xf>
    <xf numFmtId="0" fontId="17" fillId="9" borderId="26" xfId="0" quotePrefix="1" applyFont="1" applyFill="1" applyBorder="1" applyAlignment="1">
      <alignment horizontal="center" vertical="center"/>
    </xf>
    <xf numFmtId="0" fontId="17" fillId="9" borderId="4" xfId="0" quotePrefix="1" applyFont="1" applyFill="1" applyBorder="1" applyAlignment="1">
      <alignment horizontal="center" vertical="center"/>
    </xf>
    <xf numFmtId="0" fontId="17" fillId="9" borderId="3" xfId="0" quotePrefix="1" applyFont="1" applyFill="1" applyBorder="1" applyAlignment="1">
      <alignment horizontal="center" vertical="center"/>
    </xf>
    <xf numFmtId="0" fontId="17" fillId="9" borderId="148" xfId="0" applyFont="1" applyFill="1" applyBorder="1" applyAlignment="1">
      <alignment horizontal="center" vertical="center"/>
    </xf>
    <xf numFmtId="0" fontId="17" fillId="9" borderId="158" xfId="0" applyFont="1" applyFill="1" applyBorder="1" applyAlignment="1">
      <alignment horizontal="center" vertical="center"/>
    </xf>
    <xf numFmtId="0" fontId="10" fillId="8" borderId="18" xfId="0" quotePrefix="1" applyFont="1" applyFill="1" applyBorder="1" applyAlignment="1">
      <alignment horizontal="left" vertical="top" wrapText="1"/>
    </xf>
    <xf numFmtId="0" fontId="10" fillId="8" borderId="0" xfId="0" quotePrefix="1" applyFont="1" applyFill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7</xdr:row>
      <xdr:rowOff>371475</xdr:rowOff>
    </xdr:from>
    <xdr:to>
      <xdr:col>47</xdr:col>
      <xdr:colOff>95250</xdr:colOff>
      <xdr:row>9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Rot="1"/>
        </xdr:cNvSpPr>
      </xdr:nvSpPr>
      <xdr:spPr>
        <a:xfrm>
          <a:off x="10308167" y="1926166"/>
          <a:ext cx="6868583" cy="96308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시스템경계 작성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시스템 경계는 Ctg(Cradle-to-gate), gtg(gate-to-gate), gtG(gate-to-Grave) 들 중에 택1하여 작성</a:t>
          </a:r>
        </a:p>
        <a:p>
          <a:pPr algn="l" eaLnBrk="0" latinLnBrk="0">
            <a:lnSpc>
              <a:spcPct val="100000"/>
            </a:lnSpc>
          </a:pPr>
          <a:r>
            <a:rPr lang="ko-KR" altLang="en-US" sz="900">
              <a:solidFill>
                <a:srgbClr val="000000"/>
              </a:solidFill>
              <a:latin typeface="맑은 고딕"/>
              <a:ea typeface="맑은 고딕"/>
            </a:rPr>
            <a:t>     → LCI DB 범주별 서로 다른 시스템경계를 용이하게 표현하기 위해, Cradle(C), gate(g), Grave(G) 조합 사용</a:t>
          </a:r>
        </a:p>
        <a:p>
          <a:pPr algn="l" eaLnBrk="0" latinLnBrk="0">
            <a:lnSpc>
              <a:spcPct val="100000"/>
            </a:lnSpc>
          </a:pPr>
          <a:r>
            <a:rPr lang="ko-KR" altLang="en-US" sz="900">
              <a:solidFill>
                <a:srgbClr val="000000"/>
              </a:solidFill>
              <a:latin typeface="맑은 고딕"/>
              <a:ea typeface="맑은 고딕"/>
            </a:rPr>
            <a:t>        (예 : 자원 채취에서 소재생산은 Cradle-to-gate, 생산공정/수송은 gate-to-gate 등) </a:t>
          </a:r>
        </a:p>
      </xdr:txBody>
    </xdr:sp>
    <xdr:clientData/>
  </xdr:twoCellAnchor>
  <xdr:twoCellAnchor editAs="oneCell">
    <xdr:from>
      <xdr:col>54</xdr:col>
      <xdr:colOff>152400</xdr:colOff>
      <xdr:row>7</xdr:row>
      <xdr:rowOff>57150</xdr:rowOff>
    </xdr:from>
    <xdr:to>
      <xdr:col>55</xdr:col>
      <xdr:colOff>5667375</xdr:colOff>
      <xdr:row>12</xdr:row>
      <xdr:rowOff>552450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812000" y="1608666"/>
          <a:ext cx="6498166" cy="3725333"/>
        </a:xfrm>
        <a:prstGeom prst="rect">
          <a:avLst/>
        </a:prstGeom>
      </xdr:spPr>
    </xdr:pic>
    <xdr:clientData/>
  </xdr:twoCellAnchor>
  <xdr:twoCellAnchor>
    <xdr:from>
      <xdr:col>13</xdr:col>
      <xdr:colOff>57150</xdr:colOff>
      <xdr:row>9</xdr:row>
      <xdr:rowOff>257175</xdr:rowOff>
    </xdr:from>
    <xdr:to>
      <xdr:col>47</xdr:col>
      <xdr:colOff>142875</xdr:colOff>
      <xdr:row>11</xdr:row>
      <xdr:rowOff>561975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>
          <a:spLocks noRot="1"/>
        </xdr:cNvSpPr>
      </xdr:nvSpPr>
      <xdr:spPr>
        <a:xfrm>
          <a:off x="10297583" y="3100916"/>
          <a:ext cx="6932083" cy="159808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공정흐름도 작성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해당 예시공정은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"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재활용 플라스틱 펠릿 생산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"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공정흐름도로 투입물인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'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안료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', '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전기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'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등에 상위흐름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DB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를 연결하고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제품인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'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재활용 플라스틱 펠렛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'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은 폐기 과정의 하위흐름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DB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을 연결하지 않았음으로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Cradle-to-gate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에 해당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원료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·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제품에는 공정에 투입되는 물질과 중간제품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최종제품이 포함되며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수직흐름으로 표시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보조 물질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·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배출물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(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대기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/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수계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/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토양배출물 등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) ·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폐기물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(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매립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소각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재활용 흐름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)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은 수평흐름으로 표시</a:t>
          </a:r>
        </a:p>
      </xdr:txBody>
    </xdr:sp>
    <xdr:clientData/>
  </xdr:twoCellAnchor>
  <xdr:twoCellAnchor>
    <xdr:from>
      <xdr:col>13</xdr:col>
      <xdr:colOff>9525</xdr:colOff>
      <xdr:row>12</xdr:row>
      <xdr:rowOff>142875</xdr:rowOff>
    </xdr:from>
    <xdr:to>
      <xdr:col>47</xdr:col>
      <xdr:colOff>85724</xdr:colOff>
      <xdr:row>13</xdr:row>
      <xdr:rowOff>57150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>
          <a:spLocks noRot="1"/>
        </xdr:cNvSpPr>
      </xdr:nvSpPr>
      <xdr:spPr>
        <a:xfrm>
          <a:off x="10255251" y="4921250"/>
          <a:ext cx="6910917" cy="56091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공정 설명 작성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공정흐름도를 구성하는 각각의 공정에 대해서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설명을 작성</a:t>
          </a:r>
        </a:p>
      </xdr:txBody>
    </xdr:sp>
    <xdr:clientData/>
  </xdr:twoCellAnchor>
  <xdr:twoCellAnchor>
    <xdr:from>
      <xdr:col>13</xdr:col>
      <xdr:colOff>76200</xdr:colOff>
      <xdr:row>2</xdr:row>
      <xdr:rowOff>142875</xdr:rowOff>
    </xdr:from>
    <xdr:to>
      <xdr:col>47</xdr:col>
      <xdr:colOff>76200</xdr:colOff>
      <xdr:row>7</xdr:row>
      <xdr:rowOff>123824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>
          <a:spLocks noRot="1"/>
        </xdr:cNvSpPr>
      </xdr:nvSpPr>
      <xdr:spPr>
        <a:xfrm>
          <a:off x="10318751" y="571500"/>
          <a:ext cx="6836833" cy="11112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데이터 수집 대상 연도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1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년 단위의 데이터를 수집하며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1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년 미만의 신제품의 경우에는 생산시점부터 데이터 수집 시점까지의 데이터 사용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비상상황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(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화재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폭발 등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)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이 데이터 수집기간에 존재하는 경우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해당 상황에 대한 데이터를 제외하고 수집</a:t>
          </a:r>
          <a:r>
            <a:rPr lang="ko-KR" altLang="en-US" sz="900">
              <a:solidFill>
                <a:srgbClr val="000000"/>
              </a:solidFill>
              <a:latin typeface="맑은 고딕"/>
              <a:ea typeface="맑은 고딕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142875</xdr:colOff>
      <xdr:row>13</xdr:row>
      <xdr:rowOff>190500</xdr:rowOff>
    </xdr:from>
    <xdr:to>
      <xdr:col>64</xdr:col>
      <xdr:colOff>57150</xdr:colOff>
      <xdr:row>26</xdr:row>
      <xdr:rowOff>438150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Rot="1"/>
        </xdr:cNvSpPr>
      </xdr:nvSpPr>
      <xdr:spPr>
        <a:xfrm>
          <a:off x="16266584" y="2963333"/>
          <a:ext cx="7948083" cy="2857500"/>
        </a:xfrm>
        <a:prstGeom prst="rect">
          <a:avLst/>
        </a:prstGeom>
        <a:solidFill>
          <a:srgbClr val="E2EEFA"/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에너지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사용한 전력 및 화석연료 등을 수집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화석연료의 경우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연료의 원소조성 정보 수집 권장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(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비고란 기재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)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     →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연료의 황함유량과 탈황비율에 대한 조사가 선행되어야 함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(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비고란 기재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)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     →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추후 대기배출물 산정시 활용 목적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(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대상제품 시스템이 에너지원인 경우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)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사용되는 스팀의 양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(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스팀의 엔탈피 및 질량 등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),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스팀의 종류와 응측수의 온도 수집  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     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→ 제품이 에너지원으로 이용되거나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내부에너지량이 큰 제품의 경우에는 에너지 수지에 의해 데이터 적합성여부 검토 수행을 위한 목적  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 → 스팀을 통해 공급되는 에너지의 양을 투입 스팀 에너지량과 응측수의 에너지량의 차이로 계산 </a:t>
          </a:r>
        </a:p>
      </xdr:txBody>
    </xdr:sp>
    <xdr:clientData/>
  </xdr:twoCellAnchor>
  <xdr:twoCellAnchor>
    <xdr:from>
      <xdr:col>24</xdr:col>
      <xdr:colOff>190500</xdr:colOff>
      <xdr:row>27</xdr:row>
      <xdr:rowOff>47625</xdr:rowOff>
    </xdr:from>
    <xdr:to>
      <xdr:col>64</xdr:col>
      <xdr:colOff>161925</xdr:colOff>
      <xdr:row>36</xdr:row>
      <xdr:rowOff>161925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Rot="1"/>
        </xdr:cNvSpPr>
      </xdr:nvSpPr>
      <xdr:spPr>
        <a:xfrm>
          <a:off x="16308917" y="5937250"/>
          <a:ext cx="8011583" cy="17145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기타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공정을 정상적으로 작동시키기 위해 사용되는 소모성 자재의 생산 공정은 시스템 경계 내에 포함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     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→ 설비의 구성품 중 주기적 소모품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: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필터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교반기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구동축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베어링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쿠션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흡착판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연마구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절삭구 등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 → 공정 동작 중 소모품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: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절삭유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윤활유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냉각유체 등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공정의 청결 유지 또는 고장 수리용 자재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작업자의 피복의 생산 공정은 시스템 경계에서 제외  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 → 청결 유지용 소모품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: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설비 세척제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청소용구 등  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  → 작업자용 피복류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: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방진복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장갑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,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안전화 등 </a:t>
          </a:r>
        </a:p>
      </xdr:txBody>
    </xdr:sp>
    <xdr:clientData/>
  </xdr:twoCellAnchor>
  <xdr:twoCellAnchor>
    <xdr:from>
      <xdr:col>24</xdr:col>
      <xdr:colOff>190500</xdr:colOff>
      <xdr:row>0</xdr:row>
      <xdr:rowOff>200025</xdr:rowOff>
    </xdr:from>
    <xdr:to>
      <xdr:col>64</xdr:col>
      <xdr:colOff>47625</xdr:colOff>
      <xdr:row>12</xdr:row>
      <xdr:rowOff>180975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>
          <a:grpSpLocks/>
        </xdr:cNvGrpSpPr>
      </xdr:nvGrpSpPr>
      <xdr:grpSpPr>
        <a:xfrm>
          <a:off x="16308917" y="200025"/>
          <a:ext cx="7900458" cy="2478617"/>
          <a:chOff x="31762810" y="431965"/>
          <a:chExt cx="8141952" cy="2529443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SpPr>
            <a:spLocks noRot="1"/>
          </xdr:cNvSpPr>
        </xdr:nvSpPr>
        <xdr:spPr>
          <a:xfrm>
            <a:off x="31762810" y="431965"/>
            <a:ext cx="8141952" cy="2529443"/>
          </a:xfrm>
          <a:prstGeom prst="rect">
            <a:avLst/>
          </a:prstGeom>
          <a:solidFill>
            <a:srgbClr val="E2EEFA"/>
          </a:solidFill>
          <a:ln>
            <a:noFill/>
          </a:ln>
          <a:effectLst/>
        </xdr:spPr>
        <xdr:txBody>
          <a:bodyPr vertOverflow="overflow" horzOverflow="overflow" wrap="square" lIns="90170" tIns="46990" rIns="90170" bIns="46990"/>
          <a:lstStyle/>
          <a:p>
            <a:pPr algn="l" eaLnBrk="0" latinLnBrk="0">
              <a:lnSpc>
                <a:spcPct val="100000"/>
              </a:lnSpc>
            </a:pPr>
            <a:r>
              <a:rPr lang="ko-KR" altLang="en-US" sz="1100" b="1">
                <a:solidFill>
                  <a:srgbClr val="000000"/>
                </a:solidFill>
                <a:latin typeface="맑은 고딕"/>
                <a:ea typeface="맑은 고딕"/>
              </a:rPr>
              <a:t>원료 물질 및 보조물질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▶ 원료 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: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제품에 포함되는 기술계로부터 투입되는 물질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▶ 보조물질 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: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제품에는 포함되지는 않지만 제품 생산 시 사용되는 투입물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(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윤활제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,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세척제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,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필터 등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)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▶ 수송 및 유통데이터는 물동량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(ton·km)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단위로 수집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▶ 협력사로부터의 거리 및 수송방법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,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물동량 데이터를 수집하되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,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수송거리는 편도거리를 산정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▶ 모든 투입물의 수송 정보를 원칙적으로 포함하되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,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소량의 물질이나 보조물질의 경우에는 수송 정보 기재를 생략 가능    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     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→ 수송 고려 필수 항목 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: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원료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,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재활용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,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최종폐기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     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→ 수송 고려 선택 항목 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: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보조물질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,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에너지 </a:t>
            </a:r>
          </a:p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      </a:t>
            </a: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→ 경로별 수송고려 범위 </a:t>
            </a:r>
            <a:r>
              <a:rPr lang="ko-KR" altLang="en-US" sz="1100">
                <a:solidFill>
                  <a:srgbClr val="000000"/>
                </a:solidFill>
                <a:latin typeface="Aptos Narrow"/>
                <a:ea typeface="Aptos Narrow"/>
              </a:rPr>
              <a:t>: </a:t>
            </a:r>
          </a:p>
          <a:p>
            <a:pPr algn="l" eaLnBrk="0" latinLnBrk="0">
              <a:lnSpc>
                <a:spcPct val="100000"/>
              </a:lnSpc>
            </a:pPr>
            <a:endParaRPr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/>
          <a:srcRect/>
          <a:stretch>
            <a:fillRect/>
          </a:stretch>
        </xdr:blipFill>
        <xdr:spPr>
          <a:xfrm>
            <a:off x="33589036" y="2641349"/>
            <a:ext cx="3318404" cy="301837"/>
          </a:xfrm>
          <a:prstGeom prst="rect">
            <a:avLst/>
          </a:prstGeom>
          <a:noFill/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19050</xdr:colOff>
      <xdr:row>3</xdr:row>
      <xdr:rowOff>161925</xdr:rowOff>
    </xdr:from>
    <xdr:to>
      <xdr:col>61</xdr:col>
      <xdr:colOff>171449</xdr:colOff>
      <xdr:row>9</xdr:row>
      <xdr:rowOff>171449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Rot="1"/>
        </xdr:cNvSpPr>
      </xdr:nvSpPr>
      <xdr:spPr>
        <a:xfrm>
          <a:off x="12530667" y="793750"/>
          <a:ext cx="7990416" cy="1174750"/>
        </a:xfrm>
        <a:prstGeom prst="rect">
          <a:avLst/>
        </a:prstGeom>
        <a:solidFill>
          <a:srgbClr val="E2EEFA"/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제품 및 부산물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제품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: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대상제품 시스템에서의 생산품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(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유무형의 산물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)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부산물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: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같은 단위공정이나 제품 시스템에서 나온 둘 이상의 제품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▶제품 및 부산물의 가격 기재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(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추후 경제적 할당 수행 시 활용 목적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)</a:t>
          </a:r>
        </a:p>
      </xdr:txBody>
    </xdr:sp>
    <xdr:clientData/>
  </xdr:twoCellAnchor>
  <xdr:twoCellAnchor>
    <xdr:from>
      <xdr:col>22</xdr:col>
      <xdr:colOff>19050</xdr:colOff>
      <xdr:row>11</xdr:row>
      <xdr:rowOff>9525</xdr:rowOff>
    </xdr:from>
    <xdr:to>
      <xdr:col>61</xdr:col>
      <xdr:colOff>171449</xdr:colOff>
      <xdr:row>16</xdr:row>
      <xdr:rowOff>76200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Rot="1"/>
        </xdr:cNvSpPr>
      </xdr:nvSpPr>
      <xdr:spPr>
        <a:xfrm>
          <a:off x="12530667" y="2254250"/>
          <a:ext cx="7990416" cy="973666"/>
        </a:xfrm>
        <a:prstGeom prst="rect">
          <a:avLst/>
        </a:prstGeom>
        <a:solidFill>
          <a:srgbClr val="E2EEFA"/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대기 배출물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▶업체 측정 대기배출물 항목 입력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     →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기타 미 측정된 대기 배출물은 연소방정식 혹은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IPCC 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연소식에 따라 산정 예정</a:t>
          </a:r>
        </a:p>
      </xdr:txBody>
    </xdr:sp>
    <xdr:clientData/>
  </xdr:twoCellAnchor>
  <xdr:twoCellAnchor>
    <xdr:from>
      <xdr:col>22</xdr:col>
      <xdr:colOff>19050</xdr:colOff>
      <xdr:row>17</xdr:row>
      <xdr:rowOff>104775</xdr:rowOff>
    </xdr:from>
    <xdr:to>
      <xdr:col>61</xdr:col>
      <xdr:colOff>180975</xdr:colOff>
      <xdr:row>29</xdr:row>
      <xdr:rowOff>85724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Rot="1"/>
        </xdr:cNvSpPr>
      </xdr:nvSpPr>
      <xdr:spPr>
        <a:xfrm>
          <a:off x="12530667" y="3471333"/>
          <a:ext cx="8001000" cy="237066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수계 배출물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배출경로은 방류, 종말처리장으로 구분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→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방류하는경우 : BOD·COD·TN·TP·SS 배출량(질량단위) 조사, 농도단위로 관리된다면 연간 총 방류량을 추가 수집하여 질량 단위로 환산 필요   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   </a:t>
          </a:r>
          <a:r>
            <a:rPr lang="ko-KR" altLang="en-US" sz="1100">
              <a:solidFill>
                <a:srgbClr val="000000"/>
              </a:solidFill>
              <a:latin typeface="Aptos Narrow"/>
              <a:ea typeface="Aptos Narrow"/>
            </a:rPr>
            <a:t>→</a:t>
          </a: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 종말처리장으로 보내질 경우(폐수) : 농도를 조사할 필요가 없으며, 배출 총량만을 조사 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사업장 내 1차 하수처리장 설치여부와 처리방법 수집 </a:t>
          </a:r>
        </a:p>
      </xdr:txBody>
    </xdr:sp>
    <xdr:clientData/>
  </xdr:twoCellAnchor>
  <xdr:twoCellAnchor>
    <xdr:from>
      <xdr:col>22</xdr:col>
      <xdr:colOff>19050</xdr:colOff>
      <xdr:row>36</xdr:row>
      <xdr:rowOff>95250</xdr:rowOff>
    </xdr:from>
    <xdr:to>
      <xdr:col>61</xdr:col>
      <xdr:colOff>133350</xdr:colOff>
      <xdr:row>39</xdr:row>
      <xdr:rowOff>9525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Rot="1"/>
        </xdr:cNvSpPr>
      </xdr:nvSpPr>
      <xdr:spPr>
        <a:xfrm>
          <a:off x="12530667" y="7175500"/>
          <a:ext cx="7958667" cy="84666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  <a:effectLst/>
      </xdr:spPr>
      <xdr:txBody>
        <a:bodyPr vertOverflow="overflow" horzOverflow="overflow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000000"/>
              </a:solidFill>
              <a:latin typeface="맑은 고딕"/>
              <a:ea typeface="맑은 고딕"/>
            </a:rPr>
            <a:t>폐기물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일반폐기물과 지정폐기물로 구분하고 각각에 대하여 위탁처리여부와 처리방법(매립/소각/재활용/기타) 등을 수집</a:t>
          </a:r>
        </a:p>
        <a:p>
          <a:pPr algn="l" eaLnBrk="0" latinLnBrk="0">
            <a:lnSpc>
              <a:spcPct val="100000"/>
            </a:lnSpc>
          </a:pPr>
          <a:r>
            <a:rPr lang="ko-KR" altLang="en-US" sz="1100">
              <a:solidFill>
                <a:srgbClr val="000000"/>
              </a:solidFill>
              <a:latin typeface="맑은 고딕"/>
              <a:ea typeface="맑은 고딕"/>
            </a:rPr>
            <a:t>▶ 재활용 및 최종폐기 과정(매립,소각)은 수송 정보를 필수적으로 포함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P85"/>
  <sheetViews>
    <sheetView showGridLines="0" topLeftCell="A4" zoomScale="140" zoomScaleNormal="140" zoomScaleSheetLayoutView="140" workbookViewId="0">
      <selection activeCell="A19" sqref="A19:XFD19"/>
    </sheetView>
  </sheetViews>
  <sheetFormatPr defaultColWidth="9" defaultRowHeight="16.5"/>
  <cols>
    <col min="1" max="3" width="2.625" customWidth="1"/>
    <col min="4" max="4" width="23.375" customWidth="1"/>
    <col min="5" max="5" width="16.875" customWidth="1"/>
    <col min="6" max="6" width="43.875" customWidth="1"/>
    <col min="7" max="7" width="2.625" customWidth="1"/>
    <col min="9" max="17" width="8.75" customWidth="1"/>
  </cols>
  <sheetData>
    <row r="2" spans="2:6" ht="38.25">
      <c r="B2" s="370" t="s">
        <v>0</v>
      </c>
      <c r="C2" s="370"/>
      <c r="D2" s="370"/>
      <c r="E2" s="370"/>
      <c r="F2" s="370"/>
    </row>
    <row r="3" spans="2:6" ht="16.5" customHeight="1"/>
    <row r="4" spans="2:6" ht="16.5" customHeight="1">
      <c r="C4" s="362" t="s">
        <v>1</v>
      </c>
      <c r="D4" s="363"/>
      <c r="E4" s="363"/>
      <c r="F4" s="26" t="s">
        <v>2</v>
      </c>
    </row>
    <row r="5" spans="2:6" ht="16.5" customHeight="1">
      <c r="C5" s="366" t="s">
        <v>3</v>
      </c>
      <c r="D5" s="367"/>
      <c r="E5" s="367"/>
      <c r="F5" s="28" t="s">
        <v>4</v>
      </c>
    </row>
    <row r="6" spans="2:6" ht="4.9000000000000004" customHeight="1">
      <c r="D6" s="1"/>
      <c r="E6" s="1"/>
      <c r="F6" s="3"/>
    </row>
    <row r="7" spans="2:6" ht="16.5" customHeight="1">
      <c r="C7" s="371" t="s">
        <v>5</v>
      </c>
      <c r="D7" s="372"/>
      <c r="E7" s="32" t="s">
        <v>6</v>
      </c>
      <c r="F7" s="19" t="e">
        <f>#REF!</f>
        <v>#REF!</v>
      </c>
    </row>
    <row r="8" spans="2:6" ht="16.5" customHeight="1">
      <c r="C8" s="373"/>
      <c r="D8" s="374"/>
      <c r="E8" s="33" t="s">
        <v>7</v>
      </c>
      <c r="F8" s="23" t="e">
        <f>#REF!</f>
        <v>#REF!</v>
      </c>
    </row>
    <row r="9" spans="2:6" ht="4.9000000000000004" customHeight="1">
      <c r="D9" s="1"/>
      <c r="E9" s="1"/>
      <c r="F9" s="3"/>
    </row>
    <row r="10" spans="2:6" ht="16.5" customHeight="1">
      <c r="C10" s="371" t="s">
        <v>8</v>
      </c>
      <c r="D10" s="372"/>
      <c r="E10" s="32" t="s">
        <v>6</v>
      </c>
      <c r="F10" s="19"/>
    </row>
    <row r="11" spans="2:6" ht="16.5" customHeight="1">
      <c r="C11" s="373"/>
      <c r="D11" s="374"/>
      <c r="E11" s="33" t="s">
        <v>7</v>
      </c>
      <c r="F11" s="23"/>
    </row>
    <row r="12" spans="2:6" ht="4.9000000000000004" customHeight="1">
      <c r="D12" s="1"/>
      <c r="E12" s="1"/>
      <c r="F12" s="3"/>
    </row>
    <row r="13" spans="2:6" ht="16.5" customHeight="1">
      <c r="C13" s="361" t="s">
        <v>9</v>
      </c>
      <c r="D13" s="361"/>
      <c r="E13" s="361"/>
      <c r="F13" s="361"/>
    </row>
    <row r="14" spans="2:6" ht="98.65" customHeight="1">
      <c r="C14" s="362" t="s">
        <v>10</v>
      </c>
      <c r="D14" s="363"/>
      <c r="E14" s="364"/>
      <c r="F14" s="365"/>
    </row>
    <row r="15" spans="2:6" ht="98.65" customHeight="1">
      <c r="C15" s="366" t="s">
        <v>11</v>
      </c>
      <c r="D15" s="367"/>
      <c r="E15" s="368"/>
      <c r="F15" s="369"/>
    </row>
    <row r="16" spans="2:6" ht="16.5" customHeight="1">
      <c r="D16" s="1"/>
      <c r="E16" s="1"/>
      <c r="F16" s="3"/>
    </row>
    <row r="17" spans="2:16" ht="16.5" customHeight="1">
      <c r="D17" s="1"/>
      <c r="E17" s="1"/>
      <c r="F17" s="3"/>
    </row>
    <row r="18" spans="2:16" ht="16.5" customHeight="1">
      <c r="B18" s="356" t="s">
        <v>12</v>
      </c>
      <c r="C18" s="356"/>
      <c r="D18" s="356"/>
      <c r="E18" s="356"/>
      <c r="F18" s="356"/>
      <c r="G18" s="356"/>
    </row>
    <row r="19" spans="2:16" ht="16.5" customHeight="1"/>
    <row r="20" spans="2:16" ht="4.9000000000000004" customHeight="1">
      <c r="B20" s="5"/>
      <c r="C20" s="5"/>
      <c r="D20" s="5"/>
      <c r="E20" s="5"/>
      <c r="F20" s="5"/>
    </row>
    <row r="21" spans="2:16">
      <c r="B21" s="1"/>
      <c r="C21" s="337" t="s">
        <v>13</v>
      </c>
      <c r="D21" s="337"/>
      <c r="E21" s="337"/>
      <c r="F21" s="3"/>
    </row>
    <row r="22" spans="2:16">
      <c r="B22" s="1"/>
      <c r="C22" s="1"/>
      <c r="D22" s="352" t="s">
        <v>14</v>
      </c>
      <c r="E22" s="353"/>
      <c r="F22" s="19" t="s">
        <v>15</v>
      </c>
      <c r="I22" s="4" t="s">
        <v>2</v>
      </c>
      <c r="J22" s="4" t="s">
        <v>4</v>
      </c>
      <c r="K22" s="4" t="s">
        <v>16</v>
      </c>
      <c r="L22" t="s">
        <v>17</v>
      </c>
      <c r="M22" t="s">
        <v>18</v>
      </c>
      <c r="N22" s="4" t="s">
        <v>19</v>
      </c>
      <c r="O22" s="4" t="s">
        <v>20</v>
      </c>
      <c r="P22" s="4" t="s">
        <v>21</v>
      </c>
    </row>
    <row r="23" spans="2:16">
      <c r="B23" s="1"/>
      <c r="C23" s="1"/>
      <c r="D23" s="359" t="s">
        <v>22</v>
      </c>
      <c r="E23" s="360"/>
      <c r="F23" s="20" t="s">
        <v>23</v>
      </c>
      <c r="I23" s="4" t="s">
        <v>24</v>
      </c>
      <c r="J23" s="4" t="s">
        <v>25</v>
      </c>
      <c r="K23" s="4" t="s">
        <v>26</v>
      </c>
      <c r="L23" t="s">
        <v>27</v>
      </c>
      <c r="M23" s="4" t="s">
        <v>28</v>
      </c>
      <c r="N23" s="4" t="s">
        <v>29</v>
      </c>
      <c r="O23" s="4" t="s">
        <v>30</v>
      </c>
      <c r="P23" s="4" t="s">
        <v>31</v>
      </c>
    </row>
    <row r="24" spans="2:16">
      <c r="B24" s="1"/>
      <c r="C24" s="1"/>
      <c r="D24" s="359" t="s">
        <v>32</v>
      </c>
      <c r="E24" s="360"/>
      <c r="F24" s="20">
        <v>2023</v>
      </c>
      <c r="I24" s="4" t="s">
        <v>33</v>
      </c>
      <c r="J24" s="4"/>
      <c r="K24" s="4"/>
      <c r="N24" s="4" t="s">
        <v>34</v>
      </c>
      <c r="P24" s="4" t="s">
        <v>35</v>
      </c>
    </row>
    <row r="25" spans="2:16">
      <c r="B25" s="1"/>
      <c r="C25" s="1"/>
      <c r="D25" s="359" t="s">
        <v>36</v>
      </c>
      <c r="E25" s="12" t="s">
        <v>6</v>
      </c>
      <c r="F25" s="20" t="s">
        <v>37</v>
      </c>
      <c r="I25" s="4" t="s">
        <v>38</v>
      </c>
      <c r="J25" s="4"/>
      <c r="K25" s="4"/>
      <c r="N25" s="4" t="s">
        <v>39</v>
      </c>
      <c r="P25" s="4" t="s">
        <v>40</v>
      </c>
    </row>
    <row r="26" spans="2:16">
      <c r="B26" s="1"/>
      <c r="C26" s="1"/>
      <c r="D26" s="359"/>
      <c r="E26" s="12" t="s">
        <v>7</v>
      </c>
      <c r="F26" s="20" t="s">
        <v>41</v>
      </c>
      <c r="I26" s="4" t="s">
        <v>42</v>
      </c>
      <c r="J26" s="4"/>
      <c r="K26" s="4"/>
      <c r="N26" s="4" t="s">
        <v>43</v>
      </c>
      <c r="P26" s="4" t="s">
        <v>44</v>
      </c>
    </row>
    <row r="27" spans="2:16">
      <c r="B27" s="1"/>
      <c r="C27" s="1"/>
      <c r="D27" s="359" t="s">
        <v>45</v>
      </c>
      <c r="E27" s="360"/>
      <c r="F27" s="21" t="s">
        <v>46</v>
      </c>
      <c r="I27" s="4" t="s">
        <v>47</v>
      </c>
      <c r="J27" s="4"/>
      <c r="K27" s="4"/>
      <c r="P27" s="4" t="s">
        <v>48</v>
      </c>
    </row>
    <row r="28" spans="2:16" ht="21">
      <c r="B28" s="1"/>
      <c r="C28" s="1"/>
      <c r="D28" s="359" t="s">
        <v>49</v>
      </c>
      <c r="E28" s="360"/>
      <c r="F28" s="22" t="s">
        <v>50</v>
      </c>
      <c r="I28" s="4" t="s">
        <v>51</v>
      </c>
      <c r="J28" s="4"/>
      <c r="K28" s="4"/>
      <c r="P28" s="4" t="s">
        <v>52</v>
      </c>
    </row>
    <row r="29" spans="2:16">
      <c r="B29" s="1"/>
      <c r="C29" s="1"/>
      <c r="D29" s="359" t="s">
        <v>53</v>
      </c>
      <c r="E29" s="360"/>
      <c r="F29" s="20" t="s">
        <v>54</v>
      </c>
      <c r="I29" s="4" t="s">
        <v>55</v>
      </c>
      <c r="J29" s="4"/>
      <c r="K29" s="4"/>
      <c r="P29" s="4" t="s">
        <v>56</v>
      </c>
    </row>
    <row r="30" spans="2:16">
      <c r="B30" s="1"/>
      <c r="C30" s="1"/>
      <c r="D30" s="354" t="s">
        <v>57</v>
      </c>
      <c r="E30" s="355"/>
      <c r="F30" s="23" t="s">
        <v>58</v>
      </c>
      <c r="P30" s="4" t="s">
        <v>59</v>
      </c>
    </row>
    <row r="31" spans="2:16" ht="4.9000000000000004" customHeight="1">
      <c r="B31" s="1"/>
      <c r="C31" s="1"/>
      <c r="D31" s="2"/>
      <c r="E31" s="2"/>
      <c r="F31" s="3"/>
      <c r="P31" s="4" t="s">
        <v>60</v>
      </c>
    </row>
    <row r="32" spans="2:16">
      <c r="B32" s="1"/>
      <c r="C32" s="337" t="s">
        <v>61</v>
      </c>
      <c r="D32" s="337"/>
      <c r="E32" s="337"/>
      <c r="F32" s="337"/>
      <c r="P32" s="4" t="s">
        <v>62</v>
      </c>
    </row>
    <row r="33" spans="2:16">
      <c r="B33" s="1"/>
      <c r="C33" s="1"/>
      <c r="D33" s="357" t="s">
        <v>63</v>
      </c>
      <c r="E33" s="358"/>
      <c r="F33" s="24" t="s">
        <v>64</v>
      </c>
      <c r="P33" s="4" t="s">
        <v>65</v>
      </c>
    </row>
    <row r="34" spans="2:16" ht="4.9000000000000004" customHeight="1">
      <c r="B34" s="1"/>
      <c r="C34" s="1"/>
      <c r="D34" s="2"/>
      <c r="E34" s="2"/>
      <c r="F34" s="3"/>
      <c r="P34" s="4" t="s">
        <v>66</v>
      </c>
    </row>
    <row r="35" spans="2:16">
      <c r="B35" s="1"/>
      <c r="C35" s="337" t="s">
        <v>67</v>
      </c>
      <c r="D35" s="337"/>
      <c r="E35" s="337"/>
      <c r="F35" s="337"/>
      <c r="P35" s="4" t="s">
        <v>68</v>
      </c>
    </row>
    <row r="36" spans="2:16">
      <c r="B36" s="1"/>
      <c r="C36" s="1"/>
      <c r="D36" s="352" t="s">
        <v>69</v>
      </c>
      <c r="E36" s="353"/>
      <c r="F36" s="19">
        <v>2026</v>
      </c>
      <c r="P36" s="4" t="s">
        <v>70</v>
      </c>
    </row>
    <row r="37" spans="2:16">
      <c r="B37" s="1"/>
      <c r="C37" s="1"/>
      <c r="D37" s="354" t="s">
        <v>71</v>
      </c>
      <c r="E37" s="355"/>
      <c r="F37" s="23" t="s">
        <v>72</v>
      </c>
      <c r="P37" s="4" t="s">
        <v>73</v>
      </c>
    </row>
    <row r="38" spans="2:16" ht="4.9000000000000004" customHeight="1">
      <c r="B38" s="1"/>
      <c r="C38" s="1"/>
      <c r="D38" s="2"/>
      <c r="E38" s="2"/>
      <c r="F38" s="3"/>
      <c r="P38" s="4" t="s">
        <v>74</v>
      </c>
    </row>
    <row r="39" spans="2:16">
      <c r="B39" s="1"/>
      <c r="C39" s="337" t="s">
        <v>75</v>
      </c>
      <c r="D39" s="337"/>
      <c r="E39" s="337"/>
      <c r="F39" s="337"/>
      <c r="P39" s="4" t="s">
        <v>76</v>
      </c>
    </row>
    <row r="40" spans="2:16" ht="21">
      <c r="B40" s="1"/>
      <c r="C40" s="1"/>
      <c r="D40" s="352" t="s">
        <v>77</v>
      </c>
      <c r="E40" s="353"/>
      <c r="F40" s="25" t="s">
        <v>78</v>
      </c>
    </row>
    <row r="41" spans="2:16" ht="130.5" customHeight="1">
      <c r="B41" s="1"/>
      <c r="C41" s="1"/>
      <c r="D41" s="354" t="s">
        <v>79</v>
      </c>
      <c r="E41" s="355"/>
      <c r="F41" s="17" t="e">
        <v>#VALUE!</v>
      </c>
    </row>
    <row r="42" spans="2:16" ht="4.9000000000000004" customHeight="1">
      <c r="B42" s="1"/>
      <c r="C42" s="1"/>
      <c r="D42" s="2"/>
      <c r="E42" s="2"/>
      <c r="F42" s="3"/>
    </row>
    <row r="43" spans="2:16">
      <c r="B43" s="356" t="s">
        <v>80</v>
      </c>
      <c r="C43" s="356"/>
      <c r="D43" s="356"/>
      <c r="E43" s="356"/>
      <c r="F43" s="356"/>
      <c r="G43" s="356"/>
    </row>
    <row r="44" spans="2:16" ht="4.9000000000000004" customHeight="1">
      <c r="B44" s="5"/>
      <c r="C44" s="5"/>
      <c r="D44" s="5"/>
      <c r="E44" s="5"/>
      <c r="F44" s="5"/>
    </row>
    <row r="45" spans="2:16">
      <c r="B45" s="1"/>
      <c r="C45" s="337" t="s">
        <v>81</v>
      </c>
      <c r="D45" s="337"/>
      <c r="E45" s="337"/>
      <c r="F45" s="337"/>
    </row>
    <row r="46" spans="2:16">
      <c r="B46" s="1"/>
      <c r="C46" s="1"/>
      <c r="D46" s="343" t="s">
        <v>82</v>
      </c>
      <c r="E46" s="344"/>
      <c r="F46" s="13" t="s">
        <v>83</v>
      </c>
    </row>
    <row r="47" spans="2:16">
      <c r="B47" s="1"/>
      <c r="C47" s="1"/>
      <c r="D47" s="345" t="s">
        <v>84</v>
      </c>
      <c r="E47" s="346"/>
      <c r="F47" s="14" t="s">
        <v>85</v>
      </c>
    </row>
    <row r="48" spans="2:16">
      <c r="B48" s="1"/>
      <c r="C48" s="1"/>
      <c r="D48" s="347" t="s">
        <v>86</v>
      </c>
      <c r="E48" s="351"/>
      <c r="F48" s="16" t="s">
        <v>87</v>
      </c>
    </row>
    <row r="49" spans="2:6" ht="4.9000000000000004" customHeight="1">
      <c r="B49" s="1"/>
      <c r="C49" s="1"/>
      <c r="D49" s="2"/>
      <c r="E49" s="2"/>
      <c r="F49" s="3"/>
    </row>
    <row r="50" spans="2:6">
      <c r="B50" s="1"/>
      <c r="C50" s="337" t="s">
        <v>88</v>
      </c>
      <c r="D50" s="337"/>
      <c r="E50" s="337"/>
      <c r="F50" s="337"/>
    </row>
    <row r="51" spans="2:6">
      <c r="B51" s="1"/>
      <c r="C51" s="1"/>
      <c r="D51" s="343" t="s">
        <v>89</v>
      </c>
      <c r="E51" s="344"/>
      <c r="F51" s="13" t="s">
        <v>90</v>
      </c>
    </row>
    <row r="52" spans="2:6">
      <c r="B52" s="1"/>
      <c r="C52" s="1"/>
      <c r="D52" s="345" t="s">
        <v>91</v>
      </c>
      <c r="E52" s="346"/>
      <c r="F52" s="14" t="s">
        <v>92</v>
      </c>
    </row>
    <row r="53" spans="2:6">
      <c r="B53" s="1"/>
      <c r="C53" s="1"/>
      <c r="D53" s="345" t="s">
        <v>93</v>
      </c>
      <c r="E53" s="346"/>
      <c r="F53" s="14" t="s">
        <v>20</v>
      </c>
    </row>
    <row r="54" spans="2:6">
      <c r="B54" s="1"/>
      <c r="C54" s="1"/>
      <c r="D54" s="348" t="s">
        <v>94</v>
      </c>
      <c r="E54" s="349"/>
      <c r="F54" s="29">
        <v>0.55549999999999999</v>
      </c>
    </row>
    <row r="55" spans="2:6">
      <c r="B55" s="1"/>
      <c r="C55" s="1"/>
      <c r="D55" s="350" t="s">
        <v>95</v>
      </c>
      <c r="E55" s="8" t="s">
        <v>96</v>
      </c>
      <c r="F55" s="30">
        <v>279000</v>
      </c>
    </row>
    <row r="56" spans="2:6">
      <c r="B56" s="1"/>
      <c r="C56" s="1"/>
      <c r="D56" s="350"/>
      <c r="E56" s="8" t="s">
        <v>97</v>
      </c>
      <c r="F56" s="14" t="s">
        <v>98</v>
      </c>
    </row>
    <row r="57" spans="2:6">
      <c r="B57" s="1"/>
      <c r="C57" s="1"/>
      <c r="D57" s="347" t="s">
        <v>99</v>
      </c>
      <c r="E57" s="351"/>
      <c r="F57" s="16" t="s">
        <v>100</v>
      </c>
    </row>
    <row r="58" spans="2:6" ht="4.9000000000000004" customHeight="1">
      <c r="B58" s="1"/>
      <c r="C58" s="1"/>
      <c r="D58" s="6"/>
      <c r="E58" s="6"/>
      <c r="F58" s="3"/>
    </row>
    <row r="59" spans="2:6">
      <c r="B59" s="1"/>
      <c r="C59" s="337" t="s">
        <v>101</v>
      </c>
      <c r="D59" s="337"/>
      <c r="E59" s="337"/>
      <c r="F59" s="337"/>
    </row>
    <row r="60" spans="2:6">
      <c r="B60" s="1"/>
      <c r="C60" s="1"/>
      <c r="D60" s="343" t="s">
        <v>102</v>
      </c>
      <c r="E60" s="344"/>
      <c r="F60" s="13" t="s">
        <v>103</v>
      </c>
    </row>
    <row r="61" spans="2:6">
      <c r="B61" s="1"/>
      <c r="C61" s="1"/>
      <c r="D61" s="345" t="s">
        <v>104</v>
      </c>
      <c r="E61" s="346"/>
      <c r="F61" s="14" t="s">
        <v>21</v>
      </c>
    </row>
    <row r="62" spans="2:6">
      <c r="B62" s="1"/>
      <c r="C62" s="1"/>
      <c r="D62" s="345" t="s">
        <v>105</v>
      </c>
      <c r="E62" s="346"/>
      <c r="F62" s="9"/>
    </row>
    <row r="63" spans="2:6">
      <c r="B63" s="1"/>
      <c r="C63" s="1"/>
      <c r="D63" s="345" t="s">
        <v>106</v>
      </c>
      <c r="E63" s="8" t="s">
        <v>107</v>
      </c>
      <c r="F63" s="14" t="s">
        <v>108</v>
      </c>
    </row>
    <row r="64" spans="2:6">
      <c r="B64" s="1"/>
      <c r="C64" s="1"/>
      <c r="D64" s="347"/>
      <c r="E64" s="11" t="s">
        <v>109</v>
      </c>
      <c r="F64" s="10"/>
    </row>
    <row r="65" spans="2:7" ht="4.9000000000000004" customHeight="1">
      <c r="B65" s="1"/>
      <c r="C65" s="1"/>
      <c r="D65" s="2"/>
      <c r="E65" s="6"/>
      <c r="F65" s="3"/>
    </row>
    <row r="66" spans="2:7">
      <c r="B66" s="340" t="s">
        <v>110</v>
      </c>
      <c r="C66" s="340"/>
      <c r="D66" s="340"/>
      <c r="E66" s="340"/>
      <c r="F66" s="340"/>
      <c r="G66" s="340"/>
    </row>
    <row r="67" spans="2:7" ht="4.9000000000000004" customHeight="1">
      <c r="B67" s="7"/>
      <c r="C67" s="7"/>
      <c r="D67" s="7"/>
      <c r="E67" s="7"/>
      <c r="F67" s="7"/>
    </row>
    <row r="68" spans="2:7">
      <c r="B68" s="1"/>
      <c r="C68" s="337" t="s">
        <v>111</v>
      </c>
      <c r="D68" s="337"/>
      <c r="E68" s="337"/>
      <c r="F68" s="337"/>
    </row>
    <row r="69" spans="2:7">
      <c r="B69" s="1"/>
      <c r="C69" s="1"/>
      <c r="D69" s="341" t="s">
        <v>112</v>
      </c>
      <c r="E69" s="342"/>
      <c r="F69" s="18" t="s">
        <v>58</v>
      </c>
    </row>
    <row r="70" spans="2:7" ht="4.9000000000000004" customHeight="1">
      <c r="B70" s="1"/>
      <c r="C70" s="1"/>
      <c r="D70" s="6"/>
      <c r="E70" s="6"/>
      <c r="F70" s="3"/>
    </row>
    <row r="71" spans="2:7">
      <c r="B71" s="1"/>
      <c r="C71" s="337" t="s">
        <v>113</v>
      </c>
      <c r="D71" s="337"/>
      <c r="E71" s="337"/>
      <c r="F71" s="337"/>
    </row>
    <row r="72" spans="2:7">
      <c r="B72" s="1"/>
      <c r="C72" s="1"/>
      <c r="D72" s="338" t="s">
        <v>114</v>
      </c>
      <c r="E72" s="339"/>
      <c r="F72" s="13" t="s">
        <v>115</v>
      </c>
    </row>
    <row r="73" spans="2:7">
      <c r="B73" s="1"/>
      <c r="C73" s="1"/>
      <c r="D73" s="333" t="s">
        <v>116</v>
      </c>
      <c r="E73" s="334"/>
      <c r="F73" s="15" t="s">
        <v>117</v>
      </c>
    </row>
    <row r="74" spans="2:7">
      <c r="B74" s="1"/>
      <c r="C74" s="1"/>
      <c r="D74" s="335" t="s">
        <v>118</v>
      </c>
      <c r="E74" s="336"/>
      <c r="F74" s="16" t="s">
        <v>119</v>
      </c>
    </row>
    <row r="75" spans="2:7" ht="4.9000000000000004" customHeight="1">
      <c r="B75" s="1"/>
      <c r="C75" s="1"/>
      <c r="D75" s="6"/>
      <c r="E75" s="6"/>
      <c r="F75" s="3"/>
    </row>
    <row r="76" spans="2:7">
      <c r="B76" s="1"/>
      <c r="C76" s="337" t="s">
        <v>120</v>
      </c>
      <c r="D76" s="337"/>
      <c r="E76" s="337"/>
      <c r="F76" s="337"/>
    </row>
    <row r="77" spans="2:7">
      <c r="B77" s="1"/>
      <c r="C77" s="1"/>
      <c r="D77" s="338" t="s">
        <v>121</v>
      </c>
      <c r="E77" s="339"/>
      <c r="F77" s="26" t="s">
        <v>122</v>
      </c>
    </row>
    <row r="78" spans="2:7">
      <c r="B78" s="1"/>
      <c r="C78" s="1"/>
      <c r="D78" s="333" t="s">
        <v>123</v>
      </c>
      <c r="E78" s="334"/>
      <c r="F78" s="31" t="str">
        <f>F72</f>
        <v>2024-07-05T16:46:39.000</v>
      </c>
    </row>
    <row r="79" spans="2:7">
      <c r="B79" s="1"/>
      <c r="C79" s="1"/>
      <c r="D79" s="333" t="s">
        <v>124</v>
      </c>
      <c r="E79" s="334"/>
      <c r="F79" s="27" t="s">
        <v>125</v>
      </c>
    </row>
    <row r="80" spans="2:7">
      <c r="B80" s="1"/>
      <c r="C80" s="1"/>
      <c r="D80" s="333" t="s">
        <v>126</v>
      </c>
      <c r="E80" s="334"/>
      <c r="F80" s="27" t="s">
        <v>127</v>
      </c>
    </row>
    <row r="81" spans="2:6">
      <c r="B81" s="1"/>
      <c r="C81" s="1"/>
      <c r="D81" s="333" t="s">
        <v>128</v>
      </c>
      <c r="E81" s="334"/>
      <c r="F81" s="27" t="str">
        <f>F69</f>
        <v>KEITI</v>
      </c>
    </row>
    <row r="82" spans="2:6">
      <c r="B82" s="1"/>
      <c r="C82" s="1"/>
      <c r="D82" s="333" t="s">
        <v>129</v>
      </c>
      <c r="E82" s="334"/>
      <c r="F82" s="27" t="str">
        <f>F69</f>
        <v>KEITI</v>
      </c>
    </row>
    <row r="83" spans="2:6">
      <c r="B83" s="1"/>
      <c r="C83" s="1"/>
      <c r="D83" s="333" t="s">
        <v>130</v>
      </c>
      <c r="E83" s="334"/>
      <c r="F83" s="27" t="s">
        <v>54</v>
      </c>
    </row>
    <row r="84" spans="2:6">
      <c r="B84" s="1"/>
      <c r="C84" s="1"/>
      <c r="D84" s="333" t="s">
        <v>131</v>
      </c>
      <c r="E84" s="334"/>
      <c r="F84" s="27" t="s">
        <v>132</v>
      </c>
    </row>
    <row r="85" spans="2:6">
      <c r="B85" s="1"/>
      <c r="C85" s="1"/>
      <c r="D85" s="335" t="s">
        <v>133</v>
      </c>
      <c r="E85" s="336"/>
      <c r="F85" s="28" t="s">
        <v>134</v>
      </c>
    </row>
  </sheetData>
  <mergeCells count="62">
    <mergeCell ref="B2:F2"/>
    <mergeCell ref="C4:E4"/>
    <mergeCell ref="C5:E5"/>
    <mergeCell ref="C7:D8"/>
    <mergeCell ref="C10:D11"/>
    <mergeCell ref="C13:F13"/>
    <mergeCell ref="C14:D14"/>
    <mergeCell ref="E14:F14"/>
    <mergeCell ref="C15:D15"/>
    <mergeCell ref="E15:F15"/>
    <mergeCell ref="B18:G18"/>
    <mergeCell ref="C21:E21"/>
    <mergeCell ref="D22:E22"/>
    <mergeCell ref="D23:E23"/>
    <mergeCell ref="D24:E24"/>
    <mergeCell ref="D25:D26"/>
    <mergeCell ref="D27:E27"/>
    <mergeCell ref="D28:E28"/>
    <mergeCell ref="D29:E29"/>
    <mergeCell ref="D30:E30"/>
    <mergeCell ref="C32:F32"/>
    <mergeCell ref="D33:E33"/>
    <mergeCell ref="C35:F35"/>
    <mergeCell ref="D36:E36"/>
    <mergeCell ref="D37:E37"/>
    <mergeCell ref="C39:F39"/>
    <mergeCell ref="D40:E40"/>
    <mergeCell ref="D41:E41"/>
    <mergeCell ref="B43:G43"/>
    <mergeCell ref="C45:F45"/>
    <mergeCell ref="D46:E46"/>
    <mergeCell ref="D47:E47"/>
    <mergeCell ref="D48:E48"/>
    <mergeCell ref="C50:F50"/>
    <mergeCell ref="D51:E51"/>
    <mergeCell ref="D52:E52"/>
    <mergeCell ref="D53:E53"/>
    <mergeCell ref="D54:E54"/>
    <mergeCell ref="D55:D56"/>
    <mergeCell ref="D57:E57"/>
    <mergeCell ref="C59:F59"/>
    <mergeCell ref="D60:E60"/>
    <mergeCell ref="D61:E61"/>
    <mergeCell ref="D62:E62"/>
    <mergeCell ref="D63:D64"/>
    <mergeCell ref="B66:G66"/>
    <mergeCell ref="C68:F68"/>
    <mergeCell ref="D69:E69"/>
    <mergeCell ref="C71:F71"/>
    <mergeCell ref="D72:E72"/>
    <mergeCell ref="D73:E73"/>
    <mergeCell ref="D74:E74"/>
    <mergeCell ref="C76:F76"/>
    <mergeCell ref="D77:E77"/>
    <mergeCell ref="D78:E78"/>
    <mergeCell ref="D84:E84"/>
    <mergeCell ref="D85:E85"/>
    <mergeCell ref="D79:E79"/>
    <mergeCell ref="D80:E80"/>
    <mergeCell ref="D81:E81"/>
    <mergeCell ref="D82:E82"/>
    <mergeCell ref="D83:E83"/>
  </mergeCells>
  <phoneticPr fontId="35" type="noConversion"/>
  <dataValidations count="8">
    <dataValidation type="list" allowBlank="1" showInputMessage="1" showErrorMessage="1" sqref="F63" xr:uid="{00000000-0002-0000-0000-000000000000}">
      <formula1>$L$22:$L$23</formula1>
    </dataValidation>
    <dataValidation type="list" allowBlank="1" showInputMessage="1" showErrorMessage="1" sqref="F61" xr:uid="{00000000-0002-0000-0000-000001000000}">
      <formula1>$P$22:$P$39</formula1>
    </dataValidation>
    <dataValidation type="list" allowBlank="1" showInputMessage="1" showErrorMessage="1" sqref="F53" xr:uid="{00000000-0002-0000-0000-000002000000}">
      <formula1>$O$22:$O$23</formula1>
    </dataValidation>
    <dataValidation type="list" allowBlank="1" showInputMessage="1" showErrorMessage="1" sqref="F48" xr:uid="{00000000-0002-0000-0000-000003000000}">
      <formula1>$N$22:$N$26</formula1>
    </dataValidation>
    <dataValidation type="list" allowBlank="1" showInputMessage="1" showErrorMessage="1" sqref="F47" xr:uid="{00000000-0002-0000-0000-000004000000}">
      <formula1>$M$22:$M$23</formula1>
    </dataValidation>
    <dataValidation type="list" allowBlank="1" showInputMessage="1" showErrorMessage="1" sqref="F4" xr:uid="{00000000-0002-0000-0000-000005000000}">
      <formula1>$I$22:$I$29</formula1>
    </dataValidation>
    <dataValidation type="list" allowBlank="1" showInputMessage="1" showErrorMessage="1" sqref="F29 F83" xr:uid="{00000000-0002-0000-0000-000006000000}">
      <formula1>$K$22:$K$23</formula1>
    </dataValidation>
    <dataValidation type="list" allowBlank="1" showInputMessage="1" showErrorMessage="1" sqref="F5" xr:uid="{00000000-0002-0000-0000-000007000000}">
      <formula1>$J$22:$J$23</formula1>
    </dataValidation>
  </dataValidations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O44"/>
  <sheetViews>
    <sheetView showGridLines="0" view="pageBreakPreview" topLeftCell="A16" zoomScaleNormal="100" zoomScaleSheetLayoutView="100" workbookViewId="0">
      <selection activeCell="G34" sqref="G34:I35"/>
    </sheetView>
  </sheetViews>
  <sheetFormatPr defaultColWidth="0" defaultRowHeight="16.5" zeroHeight="1"/>
  <cols>
    <col min="1" max="1" width="2.625" customWidth="1"/>
    <col min="2" max="2" width="5.625" customWidth="1"/>
    <col min="3" max="11" width="7" customWidth="1"/>
    <col min="12" max="12" width="5.625" customWidth="1"/>
    <col min="13" max="13" width="2.625" customWidth="1"/>
    <col min="14" max="16384" width="8.75" hidden="1"/>
  </cols>
  <sheetData>
    <row r="1" spans="1:1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5">
      <c r="A2" s="34"/>
      <c r="B2" s="203"/>
      <c r="C2" s="35"/>
      <c r="D2" s="35"/>
      <c r="E2" s="35"/>
      <c r="F2" s="35"/>
      <c r="G2" s="35"/>
      <c r="H2" s="35"/>
      <c r="I2" s="35"/>
      <c r="J2" s="35"/>
      <c r="K2" s="35"/>
      <c r="L2" s="36"/>
      <c r="M2" s="34"/>
      <c r="O2" t="s">
        <v>135</v>
      </c>
    </row>
    <row r="3" spans="1:15">
      <c r="A3" s="34"/>
      <c r="B3" s="40"/>
      <c r="L3" s="39"/>
      <c r="M3" s="34"/>
      <c r="O3" s="4" t="s">
        <v>2</v>
      </c>
    </row>
    <row r="4" spans="1:15">
      <c r="A4" s="34"/>
      <c r="B4" s="37"/>
      <c r="C4" s="38"/>
      <c r="D4" s="38"/>
      <c r="L4" s="39"/>
      <c r="M4" s="34"/>
      <c r="O4" s="4" t="s">
        <v>136</v>
      </c>
    </row>
    <row r="5" spans="1:15">
      <c r="A5" s="34"/>
      <c r="B5" s="37"/>
      <c r="C5" s="38"/>
      <c r="D5" s="38"/>
      <c r="L5" s="39"/>
      <c r="M5" s="34"/>
      <c r="O5" s="4" t="s">
        <v>33</v>
      </c>
    </row>
    <row r="6" spans="1:15">
      <c r="A6" s="34"/>
      <c r="B6" s="40"/>
      <c r="L6" s="39"/>
      <c r="M6" s="34"/>
      <c r="O6" s="4" t="s">
        <v>42</v>
      </c>
    </row>
    <row r="7" spans="1:15">
      <c r="A7" s="34"/>
      <c r="B7" s="40"/>
      <c r="L7" s="39"/>
      <c r="M7" s="34"/>
      <c r="O7" s="4" t="s">
        <v>38</v>
      </c>
    </row>
    <row r="8" spans="1:15">
      <c r="A8" s="34"/>
      <c r="B8" s="40"/>
      <c r="L8" s="39"/>
      <c r="M8" s="34"/>
      <c r="O8" s="4" t="s">
        <v>47</v>
      </c>
    </row>
    <row r="9" spans="1:15" ht="16.899999999999999" customHeight="1">
      <c r="A9" s="34"/>
      <c r="B9" s="40"/>
      <c r="C9" s="382" t="s">
        <v>137</v>
      </c>
      <c r="D9" s="382"/>
      <c r="E9" s="382"/>
      <c r="F9" s="382"/>
      <c r="G9" s="382"/>
      <c r="H9" s="382"/>
      <c r="I9" s="382"/>
      <c r="J9" s="382"/>
      <c r="K9" s="382"/>
      <c r="L9" s="39"/>
      <c r="M9" s="34"/>
      <c r="O9" s="4" t="s">
        <v>51</v>
      </c>
    </row>
    <row r="10" spans="1:15" ht="16.899999999999999" customHeight="1">
      <c r="A10" s="34"/>
      <c r="B10" s="40"/>
      <c r="C10" s="382"/>
      <c r="D10" s="382"/>
      <c r="E10" s="382"/>
      <c r="F10" s="382"/>
      <c r="G10" s="382"/>
      <c r="H10" s="382"/>
      <c r="I10" s="382"/>
      <c r="J10" s="382"/>
      <c r="K10" s="382"/>
      <c r="L10" s="39"/>
      <c r="M10" s="34"/>
      <c r="O10" s="4" t="s">
        <v>55</v>
      </c>
    </row>
    <row r="11" spans="1:15" ht="16.899999999999999" customHeight="1">
      <c r="A11" s="34"/>
      <c r="B11" s="40"/>
      <c r="C11" s="382"/>
      <c r="D11" s="382"/>
      <c r="E11" s="382"/>
      <c r="F11" s="382"/>
      <c r="G11" s="382"/>
      <c r="H11" s="382"/>
      <c r="I11" s="382"/>
      <c r="J11" s="382"/>
      <c r="K11" s="382"/>
      <c r="L11" s="39"/>
      <c r="M11" s="34"/>
    </row>
    <row r="12" spans="1:15">
      <c r="A12" s="34"/>
      <c r="B12" s="40"/>
      <c r="C12" s="382"/>
      <c r="D12" s="382"/>
      <c r="E12" s="382"/>
      <c r="F12" s="382"/>
      <c r="G12" s="382"/>
      <c r="H12" s="382"/>
      <c r="I12" s="382"/>
      <c r="J12" s="382"/>
      <c r="K12" s="382"/>
      <c r="L12" s="39"/>
      <c r="M12" s="34"/>
    </row>
    <row r="13" spans="1:15">
      <c r="A13" s="34"/>
      <c r="B13" s="40"/>
      <c r="C13" s="382"/>
      <c r="D13" s="382"/>
      <c r="E13" s="382"/>
      <c r="F13" s="382"/>
      <c r="G13" s="382"/>
      <c r="H13" s="382"/>
      <c r="I13" s="382"/>
      <c r="J13" s="382"/>
      <c r="K13" s="382"/>
      <c r="L13" s="39"/>
      <c r="M13" s="34"/>
    </row>
    <row r="14" spans="1:15">
      <c r="A14" s="34"/>
      <c r="B14" s="40"/>
      <c r="L14" s="39"/>
      <c r="M14" s="34"/>
    </row>
    <row r="15" spans="1:15">
      <c r="A15" s="34"/>
      <c r="B15" s="40"/>
      <c r="L15" s="39"/>
      <c r="M15" s="34"/>
    </row>
    <row r="16" spans="1:15">
      <c r="A16" s="34"/>
      <c r="B16" s="40"/>
      <c r="L16" s="39"/>
      <c r="M16" s="34"/>
    </row>
    <row r="17" spans="1:13">
      <c r="A17" s="34"/>
      <c r="B17" s="40"/>
      <c r="L17" s="39"/>
      <c r="M17" s="34"/>
    </row>
    <row r="18" spans="1:13">
      <c r="A18" s="34"/>
      <c r="B18" s="40"/>
      <c r="L18" s="39"/>
      <c r="M18" s="34"/>
    </row>
    <row r="19" spans="1:13">
      <c r="A19" s="34"/>
      <c r="B19" s="40"/>
      <c r="L19" s="39"/>
      <c r="M19" s="34"/>
    </row>
    <row r="20" spans="1:13">
      <c r="A20" s="34"/>
      <c r="B20" s="40"/>
      <c r="L20" s="39"/>
      <c r="M20" s="34"/>
    </row>
    <row r="21" spans="1:13">
      <c r="A21" s="34"/>
      <c r="B21" s="40"/>
      <c r="D21" s="383" t="s">
        <v>138</v>
      </c>
      <c r="E21" s="383"/>
      <c r="F21" s="383"/>
      <c r="G21" s="385" t="s">
        <v>135</v>
      </c>
      <c r="H21" s="385"/>
      <c r="I21" s="385"/>
      <c r="J21" s="385"/>
      <c r="L21" s="39"/>
      <c r="M21" s="34"/>
    </row>
    <row r="22" spans="1:13">
      <c r="A22" s="34"/>
      <c r="B22" s="40"/>
      <c r="D22" s="384"/>
      <c r="E22" s="384"/>
      <c r="F22" s="384"/>
      <c r="G22" s="386"/>
      <c r="H22" s="386"/>
      <c r="I22" s="386"/>
      <c r="J22" s="386"/>
      <c r="L22" s="39"/>
      <c r="M22" s="34"/>
    </row>
    <row r="23" spans="1:13" ht="16.899999999999999" customHeight="1">
      <c r="A23" s="34"/>
      <c r="B23" s="40"/>
      <c r="D23" s="384" t="s">
        <v>139</v>
      </c>
      <c r="E23" s="384"/>
      <c r="F23" s="384"/>
      <c r="G23" s="387"/>
      <c r="H23" s="387"/>
      <c r="I23" s="387"/>
      <c r="J23" s="387"/>
      <c r="L23" s="39"/>
      <c r="M23" s="34"/>
    </row>
    <row r="24" spans="1:13" ht="17.649999999999999" customHeight="1">
      <c r="A24" s="34"/>
      <c r="B24" s="40"/>
      <c r="D24" s="384"/>
      <c r="E24" s="384"/>
      <c r="F24" s="384"/>
      <c r="G24" s="387"/>
      <c r="H24" s="387"/>
      <c r="I24" s="387"/>
      <c r="J24" s="387"/>
      <c r="L24" s="39"/>
      <c r="M24" s="34"/>
    </row>
    <row r="25" spans="1:13">
      <c r="A25" s="34"/>
      <c r="B25" s="40"/>
      <c r="D25" s="378" t="s">
        <v>140</v>
      </c>
      <c r="E25" s="378"/>
      <c r="F25" s="378"/>
      <c r="G25" s="380" t="s">
        <v>141</v>
      </c>
      <c r="H25" s="380"/>
      <c r="I25" s="380"/>
      <c r="J25" s="380"/>
      <c r="L25" s="39"/>
      <c r="M25" s="34"/>
    </row>
    <row r="26" spans="1:13">
      <c r="A26" s="34"/>
      <c r="B26" s="40"/>
      <c r="D26" s="379"/>
      <c r="E26" s="379"/>
      <c r="F26" s="379"/>
      <c r="G26" s="381"/>
      <c r="H26" s="381"/>
      <c r="I26" s="381"/>
      <c r="J26" s="381"/>
      <c r="L26" s="39"/>
      <c r="M26" s="34"/>
    </row>
    <row r="27" spans="1:13">
      <c r="A27" s="34"/>
      <c r="B27" s="40"/>
      <c r="L27" s="39"/>
      <c r="M27" s="34"/>
    </row>
    <row r="28" spans="1:13">
      <c r="A28" s="34"/>
      <c r="B28" s="40"/>
      <c r="L28" s="39"/>
      <c r="M28" s="34"/>
    </row>
    <row r="29" spans="1:13">
      <c r="A29" s="34"/>
      <c r="B29" s="40"/>
      <c r="L29" s="39"/>
      <c r="M29" s="34"/>
    </row>
    <row r="30" spans="1:13">
      <c r="A30" s="34"/>
      <c r="B30" s="40"/>
      <c r="E30" s="375" t="s">
        <v>142</v>
      </c>
      <c r="F30" s="375"/>
      <c r="G30" s="377" t="s">
        <v>143</v>
      </c>
      <c r="H30" s="377"/>
      <c r="I30" s="377"/>
      <c r="L30" s="39"/>
      <c r="M30" s="34"/>
    </row>
    <row r="31" spans="1:13">
      <c r="A31" s="34"/>
      <c r="B31" s="40"/>
      <c r="E31" s="375"/>
      <c r="F31" s="375"/>
      <c r="G31" s="377"/>
      <c r="H31" s="377"/>
      <c r="I31" s="377"/>
      <c r="L31" s="39"/>
      <c r="M31" s="34"/>
    </row>
    <row r="32" spans="1:13">
      <c r="A32" s="34"/>
      <c r="B32" s="40"/>
      <c r="E32" s="375" t="s">
        <v>144</v>
      </c>
      <c r="F32" s="375"/>
      <c r="G32" s="377"/>
      <c r="H32" s="377"/>
      <c r="I32" s="377"/>
      <c r="L32" s="39"/>
      <c r="M32" s="34"/>
    </row>
    <row r="33" spans="1:13">
      <c r="A33" s="34"/>
      <c r="B33" s="40"/>
      <c r="E33" s="375"/>
      <c r="F33" s="375"/>
      <c r="G33" s="377"/>
      <c r="H33" s="377"/>
      <c r="I33" s="377"/>
      <c r="L33" s="39"/>
      <c r="M33" s="34"/>
    </row>
    <row r="34" spans="1:13">
      <c r="A34" s="34"/>
      <c r="B34" s="40"/>
      <c r="E34" s="375" t="s">
        <v>145</v>
      </c>
      <c r="F34" s="375"/>
      <c r="G34" s="376"/>
      <c r="H34" s="377"/>
      <c r="I34" s="377"/>
      <c r="L34" s="39"/>
      <c r="M34" s="34"/>
    </row>
    <row r="35" spans="1:13">
      <c r="A35" s="34"/>
      <c r="B35" s="40"/>
      <c r="E35" s="375"/>
      <c r="F35" s="375"/>
      <c r="G35" s="377"/>
      <c r="H35" s="377"/>
      <c r="I35" s="377"/>
      <c r="L35" s="39"/>
      <c r="M35" s="34"/>
    </row>
    <row r="36" spans="1:13">
      <c r="A36" s="34"/>
      <c r="B36" s="40"/>
      <c r="L36" s="39"/>
      <c r="M36" s="34"/>
    </row>
    <row r="37" spans="1:13">
      <c r="A37" s="34"/>
      <c r="B37" s="40"/>
      <c r="L37" s="39"/>
      <c r="M37" s="34"/>
    </row>
    <row r="38" spans="1:13">
      <c r="A38" s="34"/>
      <c r="B38" s="40"/>
      <c r="L38" s="39"/>
      <c r="M38" s="34"/>
    </row>
    <row r="39" spans="1:13" ht="26.25">
      <c r="A39" s="34"/>
      <c r="B39" s="40"/>
      <c r="G39" s="204"/>
      <c r="L39" s="39"/>
      <c r="M39" s="34"/>
    </row>
    <row r="40" spans="1:13" ht="26.25">
      <c r="A40" s="34"/>
      <c r="B40" s="40"/>
      <c r="G40" s="204"/>
      <c r="L40" s="39"/>
      <c r="M40" s="34"/>
    </row>
    <row r="41" spans="1:13">
      <c r="A41" s="34"/>
      <c r="B41" s="40"/>
      <c r="L41" s="39"/>
      <c r="M41" s="34"/>
    </row>
    <row r="42" spans="1:13">
      <c r="A42" s="34"/>
      <c r="B42" s="40"/>
      <c r="L42" s="39"/>
      <c r="M42" s="34"/>
    </row>
    <row r="43" spans="1:13">
      <c r="A43" s="34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3"/>
      <c r="M43" s="34"/>
    </row>
    <row r="44" spans="1:1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</row>
  </sheetData>
  <mergeCells count="13">
    <mergeCell ref="C9:K13"/>
    <mergeCell ref="D21:F22"/>
    <mergeCell ref="G21:J22"/>
    <mergeCell ref="D23:F24"/>
    <mergeCell ref="G23:J24"/>
    <mergeCell ref="E34:F35"/>
    <mergeCell ref="G34:I35"/>
    <mergeCell ref="D25:F26"/>
    <mergeCell ref="G25:J26"/>
    <mergeCell ref="E30:F31"/>
    <mergeCell ref="G30:I31"/>
    <mergeCell ref="E32:F33"/>
    <mergeCell ref="G32:I33"/>
  </mergeCells>
  <phoneticPr fontId="35" type="noConversion"/>
  <dataValidations disablePrompts="1" count="1">
    <dataValidation type="list" allowBlank="1" showInputMessage="1" showErrorMessage="1" sqref="G21:J22" xr:uid="{00000000-0002-0000-0100-000000000000}">
      <formula1>$O$2:$O$10</formula1>
    </dataValidation>
  </dataValidations>
  <pageMargins left="0.69972223043441772" right="0.69972223043441772" top="0.75" bottom="0.75" header="0.30000001192092896" footer="0.30000001192092896"/>
  <pageSetup paperSize="9" scale="96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BT39"/>
  <sheetViews>
    <sheetView showGridLines="0" view="pageBreakPreview" zoomScale="90" zoomScaleNormal="90" zoomScaleSheetLayoutView="90" workbookViewId="0">
      <selection activeCell="F8" sqref="F8:G13"/>
    </sheetView>
  </sheetViews>
  <sheetFormatPr defaultColWidth="0" defaultRowHeight="16.5" zeroHeight="1"/>
  <cols>
    <col min="1" max="4" width="2.625" style="57" customWidth="1"/>
    <col min="5" max="5" width="18" style="57" customWidth="1"/>
    <col min="6" max="6" width="12.875" style="57" customWidth="1"/>
    <col min="7" max="7" width="77.125" style="57" customWidth="1"/>
    <col min="8" max="11" width="2.625" style="57" customWidth="1"/>
    <col min="12" max="48" width="2.625" customWidth="1"/>
    <col min="49" max="53" width="2.625" style="57" customWidth="1"/>
    <col min="54" max="54" width="18" style="57" customWidth="1"/>
    <col min="55" max="55" width="12.875" style="57" customWidth="1"/>
    <col min="56" max="56" width="77.125" style="57" customWidth="1"/>
    <col min="57" max="60" width="2.625" style="57" customWidth="1"/>
    <col min="61" max="72" width="0" hidden="1" customWidth="1"/>
    <col min="73" max="16384" width="8.75" hidden="1"/>
  </cols>
  <sheetData>
    <row r="1" spans="1:60" s="52" customFormat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5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 s="56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</row>
    <row r="2" spans="1:60" s="52" customFormat="1">
      <c r="A2" s="44"/>
      <c r="B2" s="55"/>
      <c r="C2" s="57"/>
      <c r="D2" s="57"/>
      <c r="E2" s="57"/>
      <c r="F2" s="57"/>
      <c r="G2" s="57"/>
      <c r="H2" s="57"/>
      <c r="I2" s="57"/>
      <c r="J2" s="57"/>
      <c r="K2" s="44"/>
      <c r="L2" s="51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 s="56"/>
      <c r="AX2" s="44"/>
      <c r="AY2" s="55" t="s">
        <v>146</v>
      </c>
      <c r="AZ2" s="57"/>
      <c r="BA2" s="57"/>
      <c r="BB2" s="57"/>
      <c r="BC2" s="57"/>
      <c r="BD2" s="57"/>
      <c r="BE2" s="57"/>
      <c r="BF2" s="57"/>
      <c r="BG2" s="57"/>
      <c r="BH2" s="44"/>
    </row>
    <row r="3" spans="1:60" s="52" customFormat="1" ht="16.5" customHeight="1">
      <c r="A3" s="44"/>
      <c r="B3" s="57"/>
      <c r="C3" s="69" t="s">
        <v>147</v>
      </c>
      <c r="D3" s="59"/>
      <c r="E3" s="59"/>
      <c r="F3" s="59"/>
      <c r="G3" s="59"/>
      <c r="H3" s="59"/>
      <c r="I3" s="59"/>
      <c r="J3" s="57"/>
      <c r="K3" s="44"/>
      <c r="L3" s="53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8"/>
      <c r="AX3" s="44"/>
      <c r="AY3" s="57"/>
      <c r="AZ3" s="69" t="s">
        <v>147</v>
      </c>
      <c r="BA3" s="59"/>
      <c r="BB3" s="59"/>
      <c r="BC3" s="59"/>
      <c r="BD3" s="59"/>
      <c r="BE3" s="59"/>
      <c r="BF3" s="59"/>
      <c r="BG3" s="57"/>
      <c r="BH3" s="44"/>
    </row>
    <row r="4" spans="1:60" s="52" customFormat="1" ht="16.899999999999999" customHeight="1">
      <c r="A4" s="44"/>
      <c r="B4" s="57"/>
      <c r="C4" s="61" t="s">
        <v>148</v>
      </c>
      <c r="D4" s="62" t="s">
        <v>149</v>
      </c>
      <c r="E4" s="62"/>
      <c r="F4" s="62"/>
      <c r="G4" s="62"/>
      <c r="H4" s="62"/>
      <c r="I4" s="62"/>
      <c r="J4" s="57"/>
      <c r="K4" s="44"/>
      <c r="L4" s="54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60"/>
      <c r="AX4" s="44"/>
      <c r="AY4" s="57"/>
      <c r="AZ4" s="61" t="s">
        <v>148</v>
      </c>
      <c r="BA4" s="62" t="s">
        <v>149</v>
      </c>
      <c r="BB4" s="62"/>
      <c r="BC4" s="62"/>
      <c r="BD4" s="62"/>
      <c r="BE4" s="62"/>
      <c r="BF4" s="62"/>
      <c r="BG4" s="57"/>
      <c r="BH4" s="44"/>
    </row>
    <row r="5" spans="1:60" s="52" customFormat="1" ht="16.899999999999999" customHeight="1">
      <c r="A5" s="44"/>
      <c r="B5" s="61"/>
      <c r="C5" s="63"/>
      <c r="D5" s="70" t="s">
        <v>150</v>
      </c>
      <c r="E5" s="70" t="s">
        <v>151</v>
      </c>
      <c r="F5" s="63"/>
      <c r="G5" s="63"/>
      <c r="H5" s="63"/>
      <c r="I5" s="57"/>
      <c r="J5" s="57"/>
      <c r="K5" s="44"/>
      <c r="L5" s="54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60"/>
      <c r="AX5" s="44"/>
      <c r="AY5" s="61"/>
      <c r="AZ5" s="63"/>
      <c r="BA5" s="70" t="s">
        <v>150</v>
      </c>
      <c r="BB5" s="70" t="s">
        <v>151</v>
      </c>
      <c r="BC5" s="63"/>
      <c r="BD5" s="63"/>
      <c r="BE5" s="63"/>
      <c r="BF5" s="57"/>
      <c r="BG5" s="57"/>
      <c r="BH5" s="44"/>
    </row>
    <row r="6" spans="1:60" s="52" customFormat="1">
      <c r="A6" s="44"/>
      <c r="B6" s="57"/>
      <c r="C6" s="57"/>
      <c r="D6" s="57"/>
      <c r="E6" s="200" t="s">
        <v>152</v>
      </c>
      <c r="F6" s="390" t="s">
        <v>153</v>
      </c>
      <c r="G6" s="391"/>
      <c r="H6" s="57"/>
      <c r="I6" s="57"/>
      <c r="J6" s="57"/>
      <c r="K6" s="44"/>
      <c r="L6" s="51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 s="56"/>
      <c r="AX6" s="44"/>
      <c r="AY6" s="57"/>
      <c r="AZ6" s="57"/>
      <c r="BA6" s="57"/>
      <c r="BB6" s="200" t="s">
        <v>152</v>
      </c>
      <c r="BC6" s="392" t="s">
        <v>154</v>
      </c>
      <c r="BD6" s="391"/>
      <c r="BE6" s="57"/>
      <c r="BF6" s="57"/>
      <c r="BG6" s="57"/>
      <c r="BH6" s="44"/>
    </row>
    <row r="7" spans="1:60" s="52" customFormat="1" ht="21" customHeight="1">
      <c r="A7" s="44"/>
      <c r="B7" s="57"/>
      <c r="C7" s="57"/>
      <c r="D7" s="57"/>
      <c r="E7" s="201" t="s">
        <v>155</v>
      </c>
      <c r="F7" s="393" t="s">
        <v>141</v>
      </c>
      <c r="G7" s="394"/>
      <c r="H7" s="57"/>
      <c r="I7" s="57"/>
      <c r="J7" s="57"/>
      <c r="K7" s="44"/>
      <c r="L7" s="51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 s="56"/>
      <c r="AX7" s="44"/>
      <c r="AY7" s="57"/>
      <c r="AZ7" s="57"/>
      <c r="BA7" s="57"/>
      <c r="BB7" s="201" t="s">
        <v>155</v>
      </c>
      <c r="BC7" s="393" t="s">
        <v>156</v>
      </c>
      <c r="BD7" s="394"/>
      <c r="BE7" s="57"/>
      <c r="BF7" s="57"/>
      <c r="BG7" s="57"/>
      <c r="BH7" s="44"/>
    </row>
    <row r="8" spans="1:60" s="52" customFormat="1" ht="51" customHeight="1">
      <c r="A8" s="44"/>
      <c r="B8" s="57"/>
      <c r="C8" s="57"/>
      <c r="D8" s="57"/>
      <c r="E8" s="388" t="s">
        <v>157</v>
      </c>
      <c r="F8" s="395"/>
      <c r="G8" s="396"/>
      <c r="H8" s="57"/>
      <c r="I8" s="57"/>
      <c r="J8" s="57"/>
      <c r="K8" s="44"/>
      <c r="L8" s="51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56"/>
      <c r="AX8" s="44"/>
      <c r="AY8" s="57"/>
      <c r="AZ8" s="57"/>
      <c r="BA8" s="57"/>
      <c r="BB8" s="388" t="s">
        <v>157</v>
      </c>
      <c r="BC8" s="395"/>
      <c r="BD8" s="396"/>
      <c r="BE8" s="57"/>
      <c r="BF8" s="57"/>
      <c r="BG8" s="57"/>
      <c r="BH8" s="44"/>
    </row>
    <row r="9" spans="1:60" s="52" customFormat="1" ht="51" customHeight="1">
      <c r="A9" s="44"/>
      <c r="B9" s="57"/>
      <c r="C9" s="57"/>
      <c r="D9" s="57"/>
      <c r="E9" s="388"/>
      <c r="F9" s="395"/>
      <c r="G9" s="396"/>
      <c r="H9" s="57"/>
      <c r="I9" s="57"/>
      <c r="J9" s="57"/>
      <c r="K9" s="44"/>
      <c r="L9" s="51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56"/>
      <c r="AX9" s="44"/>
      <c r="AY9" s="57"/>
      <c r="AZ9" s="57"/>
      <c r="BA9" s="57"/>
      <c r="BB9" s="388"/>
      <c r="BC9" s="395"/>
      <c r="BD9" s="396"/>
      <c r="BE9" s="57"/>
      <c r="BF9" s="57"/>
      <c r="BG9" s="57"/>
      <c r="BH9" s="44"/>
    </row>
    <row r="10" spans="1:60" s="52" customFormat="1" ht="51" customHeight="1">
      <c r="A10" s="44"/>
      <c r="B10" s="57"/>
      <c r="C10" s="57"/>
      <c r="D10" s="57"/>
      <c r="E10" s="388"/>
      <c r="F10" s="395"/>
      <c r="G10" s="396"/>
      <c r="H10" s="57"/>
      <c r="I10" s="57"/>
      <c r="J10" s="57"/>
      <c r="K10" s="44"/>
      <c r="L10" s="51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56"/>
      <c r="AX10" s="44"/>
      <c r="AY10" s="57"/>
      <c r="AZ10" s="57"/>
      <c r="BA10" s="57"/>
      <c r="BB10" s="388"/>
      <c r="BC10" s="395"/>
      <c r="BD10" s="396"/>
      <c r="BE10" s="57"/>
      <c r="BF10" s="57"/>
      <c r="BG10" s="57"/>
      <c r="BH10" s="44"/>
    </row>
    <row r="11" spans="1:60" s="52" customFormat="1" ht="51" customHeight="1">
      <c r="A11" s="44"/>
      <c r="B11" s="57"/>
      <c r="C11" s="57"/>
      <c r="D11" s="57"/>
      <c r="E11" s="388"/>
      <c r="F11" s="395"/>
      <c r="G11" s="396"/>
      <c r="H11" s="57"/>
      <c r="I11" s="57"/>
      <c r="J11" s="57"/>
      <c r="K11" s="44"/>
      <c r="L11" s="5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56"/>
      <c r="AX11" s="44"/>
      <c r="AY11" s="57"/>
      <c r="AZ11" s="57"/>
      <c r="BA11" s="57"/>
      <c r="BB11" s="388"/>
      <c r="BC11" s="395"/>
      <c r="BD11" s="396"/>
      <c r="BE11" s="57"/>
      <c r="BF11" s="57"/>
      <c r="BG11" s="57"/>
      <c r="BH11" s="44"/>
    </row>
    <row r="12" spans="1:60" s="52" customFormat="1" ht="51" customHeight="1">
      <c r="A12" s="44"/>
      <c r="B12" s="57"/>
      <c r="C12" s="57"/>
      <c r="D12" s="57"/>
      <c r="E12" s="388"/>
      <c r="F12" s="395"/>
      <c r="G12" s="396"/>
      <c r="H12" s="57"/>
      <c r="I12" s="57"/>
      <c r="J12" s="57"/>
      <c r="K12" s="44"/>
      <c r="L12" s="51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56"/>
      <c r="AX12" s="44"/>
      <c r="AY12" s="57"/>
      <c r="AZ12" s="57"/>
      <c r="BA12" s="57"/>
      <c r="BB12" s="388"/>
      <c r="BC12" s="395"/>
      <c r="BD12" s="396"/>
      <c r="BE12" s="57"/>
      <c r="BF12" s="57"/>
      <c r="BG12" s="57"/>
      <c r="BH12" s="44"/>
    </row>
    <row r="13" spans="1:60" s="52" customFormat="1" ht="51" customHeight="1">
      <c r="A13" s="44"/>
      <c r="B13" s="57"/>
      <c r="C13" s="57"/>
      <c r="D13" s="57"/>
      <c r="E13" s="388"/>
      <c r="F13" s="395"/>
      <c r="G13" s="396"/>
      <c r="H13" s="57"/>
      <c r="I13" s="57"/>
      <c r="J13" s="57"/>
      <c r="K13" s="44"/>
      <c r="L13" s="51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56"/>
      <c r="AX13" s="44"/>
      <c r="AY13" s="57"/>
      <c r="AZ13" s="57"/>
      <c r="BA13" s="57"/>
      <c r="BB13" s="388"/>
      <c r="BC13" s="395"/>
      <c r="BD13" s="396"/>
      <c r="BE13" s="57"/>
      <c r="BF13" s="57"/>
      <c r="BG13" s="57"/>
      <c r="BH13" s="44"/>
    </row>
    <row r="14" spans="1:60" s="52" customFormat="1">
      <c r="A14" s="44"/>
      <c r="B14" s="57"/>
      <c r="C14" s="57"/>
      <c r="D14" s="57"/>
      <c r="E14" s="388" t="s">
        <v>158</v>
      </c>
      <c r="F14" s="146"/>
      <c r="G14" s="148"/>
      <c r="H14" s="57"/>
      <c r="I14" s="57"/>
      <c r="J14" s="57"/>
      <c r="K14" s="44"/>
      <c r="L14" s="51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56"/>
      <c r="AX14" s="44"/>
      <c r="AY14" s="57"/>
      <c r="AZ14" s="57"/>
      <c r="BA14" s="57"/>
      <c r="BB14" s="388" t="s">
        <v>158</v>
      </c>
      <c r="BC14" s="146" t="s">
        <v>159</v>
      </c>
      <c r="BD14" s="148" t="s">
        <v>160</v>
      </c>
      <c r="BE14" s="57"/>
      <c r="BF14" s="57"/>
      <c r="BG14" s="57"/>
      <c r="BH14" s="44"/>
    </row>
    <row r="15" spans="1:60" s="52" customFormat="1">
      <c r="A15" s="44"/>
      <c r="B15" s="57"/>
      <c r="C15" s="57"/>
      <c r="D15" s="57"/>
      <c r="E15" s="388"/>
      <c r="F15" s="146"/>
      <c r="G15" s="148"/>
      <c r="H15" s="57"/>
      <c r="I15" s="57"/>
      <c r="J15" s="57"/>
      <c r="K15" s="44"/>
      <c r="L15" s="51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56"/>
      <c r="AX15" s="44"/>
      <c r="AY15" s="57"/>
      <c r="AZ15" s="57"/>
      <c r="BA15" s="57"/>
      <c r="BB15" s="388"/>
      <c r="BC15" s="146" t="s">
        <v>161</v>
      </c>
      <c r="BD15" s="148" t="s">
        <v>162</v>
      </c>
      <c r="BE15" s="57"/>
      <c r="BF15" s="57"/>
      <c r="BG15" s="57"/>
      <c r="BH15" s="44"/>
    </row>
    <row r="16" spans="1:60" s="52" customFormat="1">
      <c r="A16" s="44"/>
      <c r="B16" s="57"/>
      <c r="C16" s="57"/>
      <c r="D16" s="57"/>
      <c r="E16" s="388"/>
      <c r="F16" s="146"/>
      <c r="G16" s="148"/>
      <c r="H16" s="57"/>
      <c r="I16" s="57"/>
      <c r="J16" s="57"/>
      <c r="K16" s="44"/>
      <c r="L16" s="51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56"/>
      <c r="AX16" s="44"/>
      <c r="AY16" s="57"/>
      <c r="AZ16" s="57"/>
      <c r="BA16" s="57"/>
      <c r="BB16" s="388"/>
      <c r="BC16" s="146" t="s">
        <v>163</v>
      </c>
      <c r="BD16" s="148" t="s">
        <v>164</v>
      </c>
      <c r="BE16" s="57"/>
      <c r="BF16" s="57"/>
      <c r="BG16" s="57"/>
      <c r="BH16" s="44"/>
    </row>
    <row r="17" spans="1:60" s="52" customFormat="1">
      <c r="A17" s="44"/>
      <c r="B17" s="57"/>
      <c r="C17" s="57"/>
      <c r="D17" s="57"/>
      <c r="E17" s="388"/>
      <c r="F17" s="146"/>
      <c r="G17" s="148"/>
      <c r="H17" s="57"/>
      <c r="I17" s="57"/>
      <c r="J17" s="57"/>
      <c r="K17" s="44"/>
      <c r="L17" s="51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56"/>
      <c r="AX17" s="44"/>
      <c r="AY17" s="57"/>
      <c r="AZ17" s="57"/>
      <c r="BA17" s="57"/>
      <c r="BB17" s="388"/>
      <c r="BC17" s="146" t="s">
        <v>165</v>
      </c>
      <c r="BD17" s="148" t="s">
        <v>166</v>
      </c>
      <c r="BE17" s="57"/>
      <c r="BF17" s="57"/>
      <c r="BG17" s="57"/>
      <c r="BH17" s="44"/>
    </row>
    <row r="18" spans="1:60" s="52" customFormat="1">
      <c r="A18" s="44"/>
      <c r="B18" s="57"/>
      <c r="C18" s="57"/>
      <c r="D18" s="57"/>
      <c r="E18" s="389"/>
      <c r="F18" s="169" t="s">
        <v>167</v>
      </c>
      <c r="G18" s="170" t="s">
        <v>167</v>
      </c>
      <c r="H18" s="57"/>
      <c r="I18" s="57"/>
      <c r="J18" s="57"/>
      <c r="K18" s="44"/>
      <c r="L18" s="51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s="56"/>
      <c r="AX18" s="44"/>
      <c r="AY18" s="57"/>
      <c r="AZ18" s="57"/>
      <c r="BA18" s="57"/>
      <c r="BB18" s="389"/>
      <c r="BC18" s="147" t="s">
        <v>167</v>
      </c>
      <c r="BD18" s="149" t="s">
        <v>167</v>
      </c>
      <c r="BE18" s="57"/>
      <c r="BF18" s="57"/>
      <c r="BG18" s="57"/>
      <c r="BH18" s="44"/>
    </row>
    <row r="19" spans="1:60" s="52" customFormat="1">
      <c r="A19" s="44"/>
      <c r="B19" s="57"/>
      <c r="C19" s="57"/>
      <c r="D19" s="57"/>
      <c r="E19" s="57"/>
      <c r="F19" s="57"/>
      <c r="G19" s="57"/>
      <c r="H19" s="57"/>
      <c r="I19" s="57"/>
      <c r="J19" s="57"/>
      <c r="K19" s="44"/>
      <c r="L19" s="51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 s="56"/>
      <c r="AX19" s="44"/>
      <c r="AY19" s="57"/>
      <c r="AZ19" s="57"/>
      <c r="BA19" s="57"/>
      <c r="BB19" s="57"/>
      <c r="BC19" s="57"/>
      <c r="BD19" s="57"/>
      <c r="BE19" s="57"/>
      <c r="BF19" s="57"/>
      <c r="BG19" s="57"/>
      <c r="BH19" s="44"/>
    </row>
    <row r="20" spans="1:60" s="52" customForma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51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 s="56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</row>
    <row r="23" spans="1:60" ht="17.45" hidden="1" customHeight="1"/>
    <row r="24" spans="1:60" ht="17.45" hidden="1" customHeight="1"/>
    <row r="25" spans="1:60" ht="17.45" hidden="1" customHeight="1"/>
    <row r="33" ht="17.45" hidden="1" customHeight="1"/>
    <row r="34" ht="17.45" hidden="1" customHeight="1"/>
    <row r="35" ht="17.45" hidden="1" customHeight="1"/>
    <row r="36" ht="17.45" hidden="1" customHeight="1"/>
    <row r="39" ht="17.45" hidden="1" customHeight="1"/>
  </sheetData>
  <mergeCells count="10">
    <mergeCell ref="E14:E18"/>
    <mergeCell ref="BB14:BB18"/>
    <mergeCell ref="F6:G6"/>
    <mergeCell ref="BC6:BD6"/>
    <mergeCell ref="F7:G7"/>
    <mergeCell ref="BC7:BD7"/>
    <mergeCell ref="E8:E13"/>
    <mergeCell ref="F8:G13"/>
    <mergeCell ref="BB8:BB13"/>
    <mergeCell ref="BC8:BD13"/>
  </mergeCells>
  <phoneticPr fontId="35" type="noConversion"/>
  <pageMargins left="0.69972223043441772" right="0.69972223043441772" top="0.75" bottom="0.75" header="0.30000001192092896" footer="0.30000001192092896"/>
  <pageSetup paperSize="9" scale="60" orientation="portrait" r:id="rId1"/>
  <colBreaks count="2" manualBreakCount="2">
    <brk id="11" max="16383" man="1"/>
    <brk id="48" max="1638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EG39"/>
  <sheetViews>
    <sheetView showGridLines="0" tabSelected="1" view="pageBreakPreview" zoomScale="90" zoomScaleNormal="90" zoomScaleSheetLayoutView="90" workbookViewId="0">
      <selection activeCell="I27" sqref="I27"/>
    </sheetView>
  </sheetViews>
  <sheetFormatPr defaultColWidth="0" defaultRowHeight="16.5" zeroHeight="1"/>
  <cols>
    <col min="1" max="4" width="2.625" style="57" customWidth="1"/>
    <col min="5" max="5" width="14.375" style="57" customWidth="1"/>
    <col min="6" max="8" width="16.625" style="57" customWidth="1"/>
    <col min="9" max="9" width="20.375" style="57" customWidth="1"/>
    <col min="10" max="10" width="14.375" style="57" customWidth="1"/>
    <col min="11" max="13" width="9.125" style="57" customWidth="1"/>
    <col min="14" max="14" width="8.75" style="57" customWidth="1"/>
    <col min="15" max="15" width="18.25" style="57" customWidth="1"/>
    <col min="16" max="16" width="11.125" style="57" customWidth="1"/>
    <col min="17" max="17" width="17.625" customWidth="1"/>
    <col min="18" max="21" width="2.625" style="57" customWidth="1"/>
    <col min="22" max="22" width="2.625" customWidth="1"/>
    <col min="23" max="70" width="2.625" style="57" customWidth="1"/>
    <col min="71" max="71" width="14.375" style="57" customWidth="1"/>
    <col min="72" max="74" width="16.625" style="57" customWidth="1"/>
    <col min="75" max="75" width="20.375" style="57" customWidth="1"/>
    <col min="76" max="76" width="14.375" style="57" customWidth="1"/>
    <col min="77" max="79" width="9.125" style="57" customWidth="1"/>
    <col min="80" max="80" width="8.75" style="57" customWidth="1"/>
    <col min="81" max="81" width="18.25" style="57" customWidth="1"/>
    <col min="82" max="82" width="11.125" style="57" customWidth="1"/>
    <col min="83" max="83" width="17.625" customWidth="1"/>
    <col min="84" max="87" width="2.625" style="57" customWidth="1"/>
    <col min="88" max="137" width="0" hidden="1" customWidth="1"/>
    <col min="138" max="16384" width="8.75" hidden="1"/>
  </cols>
  <sheetData>
    <row r="1" spans="1:87" s="52" customFormat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/>
      <c r="W1" s="56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</row>
    <row r="2" spans="1:87" s="52" customFormat="1">
      <c r="A2" s="44"/>
      <c r="B2" s="55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/>
      <c r="R2" s="57"/>
      <c r="S2" s="57"/>
      <c r="T2" s="57"/>
      <c r="U2" s="44"/>
      <c r="V2"/>
      <c r="W2" s="56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44"/>
      <c r="BP2" s="55" t="s">
        <v>146</v>
      </c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/>
      <c r="CF2" s="57"/>
      <c r="CG2" s="57"/>
      <c r="CH2" s="57"/>
      <c r="CI2" s="44"/>
    </row>
    <row r="3" spans="1:87" s="52" customFormat="1" ht="16.5" customHeight="1">
      <c r="A3" s="44"/>
      <c r="B3" s="57"/>
      <c r="C3" s="69" t="s">
        <v>168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45"/>
      <c r="R3" s="59"/>
      <c r="S3" s="59"/>
      <c r="T3" s="57"/>
      <c r="U3" s="44"/>
      <c r="V3" s="50"/>
      <c r="W3" s="58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44"/>
      <c r="BP3" s="57"/>
      <c r="BQ3" s="69" t="s">
        <v>168</v>
      </c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45"/>
      <c r="CF3" s="59"/>
      <c r="CG3" s="59"/>
      <c r="CH3" s="57"/>
      <c r="CI3" s="44"/>
    </row>
    <row r="4" spans="1:87" s="52" customFormat="1" ht="16.899999999999999" customHeight="1">
      <c r="A4" s="44"/>
      <c r="B4" s="57"/>
      <c r="C4" s="61" t="s">
        <v>148</v>
      </c>
      <c r="D4" s="62" t="s">
        <v>169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46"/>
      <c r="R4" s="62"/>
      <c r="S4" s="62"/>
      <c r="T4" s="57"/>
      <c r="U4" s="44"/>
      <c r="V4" s="171"/>
      <c r="W4" s="6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44"/>
      <c r="BP4" s="57"/>
      <c r="BQ4" s="61" t="s">
        <v>148</v>
      </c>
      <c r="BR4" s="62" t="s">
        <v>169</v>
      </c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46"/>
      <c r="CF4" s="62"/>
      <c r="CG4" s="62"/>
      <c r="CH4" s="57"/>
      <c r="CI4" s="44"/>
    </row>
    <row r="5" spans="1:87" s="52" customFormat="1" ht="16.899999999999999" customHeight="1">
      <c r="A5" s="44"/>
      <c r="B5" s="61"/>
      <c r="C5" s="71" t="s">
        <v>148</v>
      </c>
      <c r="D5" s="63" t="s">
        <v>170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47"/>
      <c r="R5" s="63"/>
      <c r="S5" s="57"/>
      <c r="T5" s="57"/>
      <c r="U5" s="44"/>
      <c r="V5" s="171"/>
      <c r="W5" s="6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44"/>
      <c r="BP5" s="61"/>
      <c r="BQ5" s="71" t="s">
        <v>148</v>
      </c>
      <c r="BR5" s="63" t="s">
        <v>170</v>
      </c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47"/>
      <c r="CF5" s="63"/>
      <c r="CG5" s="57"/>
      <c r="CH5" s="57"/>
      <c r="CI5" s="44"/>
    </row>
    <row r="6" spans="1:87" s="52" customFormat="1" ht="16.899999999999999" customHeight="1">
      <c r="A6" s="44"/>
      <c r="B6" s="61"/>
      <c r="C6" s="63"/>
      <c r="D6" s="70" t="s">
        <v>150</v>
      </c>
      <c r="E6" s="70" t="s">
        <v>151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47"/>
      <c r="R6" s="63"/>
      <c r="S6" s="57"/>
      <c r="T6" s="57"/>
      <c r="U6" s="44"/>
      <c r="V6" s="171"/>
      <c r="W6" s="6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44"/>
      <c r="BP6" s="61"/>
      <c r="BQ6" s="63"/>
      <c r="BR6" s="70" t="s">
        <v>150</v>
      </c>
      <c r="BS6" s="70" t="s">
        <v>151</v>
      </c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47"/>
      <c r="CF6" s="63"/>
      <c r="CG6" s="57"/>
      <c r="CH6" s="57"/>
      <c r="CI6" s="44"/>
    </row>
    <row r="7" spans="1:87" s="52" customFormat="1" ht="16.899999999999999" customHeight="1">
      <c r="A7" s="44"/>
      <c r="B7" s="61"/>
      <c r="C7" s="71" t="s">
        <v>148</v>
      </c>
      <c r="D7" s="63" t="s">
        <v>171</v>
      </c>
      <c r="E7" s="70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47"/>
      <c r="R7" s="63"/>
      <c r="S7" s="57"/>
      <c r="T7" s="57"/>
      <c r="U7" s="44"/>
      <c r="V7" s="171"/>
      <c r="W7" s="6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44"/>
      <c r="BP7" s="61"/>
      <c r="BQ7" s="71" t="s">
        <v>148</v>
      </c>
      <c r="BR7" s="63" t="s">
        <v>171</v>
      </c>
      <c r="BS7" s="70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47"/>
      <c r="CF7" s="63"/>
      <c r="CG7" s="57"/>
      <c r="CH7" s="57"/>
      <c r="CI7" s="44"/>
    </row>
    <row r="8" spans="1:87" s="52" customFormat="1" ht="4.9000000000000004" customHeight="1">
      <c r="A8" s="44"/>
      <c r="B8" s="61"/>
      <c r="C8" s="71"/>
      <c r="D8" s="63"/>
      <c r="E8" s="70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47"/>
      <c r="R8" s="63"/>
      <c r="S8" s="57"/>
      <c r="T8" s="57"/>
      <c r="U8" s="44"/>
      <c r="V8" s="171"/>
      <c r="W8" s="6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44"/>
      <c r="BP8" s="61"/>
      <c r="BQ8" s="71"/>
      <c r="BR8" s="63"/>
      <c r="BS8" s="70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47"/>
      <c r="CF8" s="63"/>
      <c r="CG8" s="57"/>
      <c r="CH8" s="57"/>
      <c r="CI8" s="44"/>
    </row>
    <row r="9" spans="1:87" s="52" customFormat="1" ht="17.649999999999999" customHeight="1">
      <c r="A9" s="44"/>
      <c r="B9" s="57"/>
      <c r="C9" s="48" t="s">
        <v>172</v>
      </c>
      <c r="D9" s="329" t="s">
        <v>173</v>
      </c>
      <c r="E9" s="329"/>
      <c r="F9" s="329"/>
      <c r="G9" s="49"/>
      <c r="H9" s="49"/>
      <c r="I9" s="49"/>
      <c r="J9" s="4"/>
      <c r="K9" s="4"/>
      <c r="L9" s="4"/>
      <c r="M9" s="4"/>
      <c r="N9" s="4"/>
      <c r="O9" s="4"/>
      <c r="P9" s="4"/>
      <c r="Q9" s="4"/>
      <c r="R9" s="57"/>
      <c r="S9" s="57"/>
      <c r="T9" s="57"/>
      <c r="U9" s="44"/>
      <c r="V9"/>
      <c r="W9" s="56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44"/>
      <c r="BP9" s="57"/>
      <c r="BQ9" s="48" t="s">
        <v>172</v>
      </c>
      <c r="BR9" s="329" t="s">
        <v>173</v>
      </c>
      <c r="BS9" s="329"/>
      <c r="BT9" s="329"/>
      <c r="BU9" s="49"/>
      <c r="BV9" s="49"/>
      <c r="BW9" s="49"/>
      <c r="BX9" s="4"/>
      <c r="BY9" s="4"/>
      <c r="BZ9" s="4"/>
      <c r="CA9" s="4"/>
      <c r="CB9" s="4"/>
      <c r="CC9" s="4"/>
      <c r="CD9" s="4"/>
      <c r="CE9" s="4"/>
      <c r="CF9" s="57"/>
      <c r="CG9" s="57"/>
      <c r="CH9" s="57"/>
      <c r="CI9" s="44"/>
    </row>
    <row r="10" spans="1:87" s="52" customFormat="1">
      <c r="A10" s="44"/>
      <c r="B10" s="57"/>
      <c r="C10"/>
      <c r="D10"/>
      <c r="E10" s="330" t="s">
        <v>174</v>
      </c>
      <c r="F10" s="318" t="s">
        <v>175</v>
      </c>
      <c r="G10" s="318" t="s">
        <v>96</v>
      </c>
      <c r="H10" s="276" t="s">
        <v>176</v>
      </c>
      <c r="I10" s="276" t="s">
        <v>177</v>
      </c>
      <c r="J10" s="276" t="s">
        <v>178</v>
      </c>
      <c r="K10" s="276"/>
      <c r="L10" s="276"/>
      <c r="M10" s="276"/>
      <c r="N10" s="276"/>
      <c r="O10" s="276"/>
      <c r="P10" s="276"/>
      <c r="Q10" s="277"/>
      <c r="R10" s="57"/>
      <c r="S10" s="57"/>
      <c r="T10" s="57"/>
      <c r="U10" s="44"/>
      <c r="V10"/>
      <c r="W10" s="56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44"/>
      <c r="BP10" s="57"/>
      <c r="BQ10"/>
      <c r="BR10"/>
      <c r="BS10" s="330" t="s">
        <v>174</v>
      </c>
      <c r="BT10" s="318" t="s">
        <v>175</v>
      </c>
      <c r="BU10" s="318" t="s">
        <v>96</v>
      </c>
      <c r="BV10" s="276" t="s">
        <v>176</v>
      </c>
      <c r="BW10" s="276" t="s">
        <v>177</v>
      </c>
      <c r="BX10" s="306" t="s">
        <v>178</v>
      </c>
      <c r="BY10" s="279"/>
      <c r="BZ10" s="279"/>
      <c r="CA10" s="279"/>
      <c r="CB10" s="279"/>
      <c r="CC10" s="279"/>
      <c r="CD10" s="279"/>
      <c r="CE10" s="280"/>
      <c r="CF10" s="57"/>
      <c r="CG10" s="57"/>
      <c r="CH10" s="57"/>
      <c r="CI10" s="44"/>
    </row>
    <row r="11" spans="1:87" s="52" customFormat="1" ht="17.45" customHeight="1">
      <c r="A11" s="44"/>
      <c r="B11" s="57"/>
      <c r="C11"/>
      <c r="D11"/>
      <c r="E11" s="331"/>
      <c r="F11" s="319"/>
      <c r="G11" s="319"/>
      <c r="H11" s="301"/>
      <c r="I11" s="301"/>
      <c r="J11" s="321" t="s">
        <v>179</v>
      </c>
      <c r="K11" s="301" t="s">
        <v>180</v>
      </c>
      <c r="L11" s="301"/>
      <c r="M11" s="301"/>
      <c r="N11" s="301"/>
      <c r="O11" s="301" t="s">
        <v>181</v>
      </c>
      <c r="P11" s="321" t="s">
        <v>182</v>
      </c>
      <c r="Q11" s="323"/>
      <c r="R11" s="57"/>
      <c r="S11" s="57"/>
      <c r="T11" s="57"/>
      <c r="U11" s="44"/>
      <c r="V11"/>
      <c r="W11" s="56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44"/>
      <c r="BP11" s="57"/>
      <c r="BQ11"/>
      <c r="BR11"/>
      <c r="BS11" s="331"/>
      <c r="BT11" s="319"/>
      <c r="BU11" s="319"/>
      <c r="BV11" s="301"/>
      <c r="BW11" s="301"/>
      <c r="BX11" s="321" t="s">
        <v>179</v>
      </c>
      <c r="BY11" s="301" t="s">
        <v>180</v>
      </c>
      <c r="BZ11" s="301"/>
      <c r="CA11" s="301"/>
      <c r="CB11" s="301"/>
      <c r="CC11" s="301" t="s">
        <v>181</v>
      </c>
      <c r="CD11" s="325" t="s">
        <v>182</v>
      </c>
      <c r="CE11" s="326"/>
      <c r="CF11" s="57"/>
      <c r="CG11" s="57"/>
      <c r="CH11" s="57"/>
      <c r="CI11" s="44"/>
    </row>
    <row r="12" spans="1:87" s="52" customFormat="1" ht="24">
      <c r="A12" s="44"/>
      <c r="B12" s="57"/>
      <c r="C12"/>
      <c r="D12"/>
      <c r="E12" s="332"/>
      <c r="F12" s="320"/>
      <c r="G12" s="320"/>
      <c r="H12" s="301"/>
      <c r="I12" s="301"/>
      <c r="J12" s="322"/>
      <c r="K12" s="188" t="s">
        <v>183</v>
      </c>
      <c r="L12" s="189" t="s">
        <v>184</v>
      </c>
      <c r="M12" s="188" t="s">
        <v>185</v>
      </c>
      <c r="N12" s="189" t="s">
        <v>184</v>
      </c>
      <c r="O12" s="301"/>
      <c r="P12" s="322"/>
      <c r="Q12" s="324"/>
      <c r="R12" s="57"/>
      <c r="S12" s="57"/>
      <c r="T12" s="57"/>
      <c r="U12" s="44"/>
      <c r="V12"/>
      <c r="W12" s="56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44"/>
      <c r="BP12" s="57"/>
      <c r="BQ12"/>
      <c r="BR12"/>
      <c r="BS12" s="332"/>
      <c r="BT12" s="320"/>
      <c r="BU12" s="320"/>
      <c r="BV12" s="301"/>
      <c r="BW12" s="301"/>
      <c r="BX12" s="322"/>
      <c r="BY12" s="188" t="s">
        <v>183</v>
      </c>
      <c r="BZ12" s="189" t="s">
        <v>184</v>
      </c>
      <c r="CA12" s="188" t="s">
        <v>185</v>
      </c>
      <c r="CB12" s="189" t="s">
        <v>184</v>
      </c>
      <c r="CC12" s="301"/>
      <c r="CD12" s="327"/>
      <c r="CE12" s="328"/>
      <c r="CF12" s="57"/>
      <c r="CG12" s="57"/>
      <c r="CH12" s="57"/>
      <c r="CI12" s="44"/>
    </row>
    <row r="13" spans="1:87" s="52" customFormat="1">
      <c r="A13" s="44"/>
      <c r="B13" s="57"/>
      <c r="C13"/>
      <c r="D13"/>
      <c r="E13" s="172" t="s">
        <v>186</v>
      </c>
      <c r="F13" s="75" t="s">
        <v>187</v>
      </c>
      <c r="G13" s="213"/>
      <c r="H13" s="75" t="s">
        <v>98</v>
      </c>
      <c r="I13" s="75" t="s">
        <v>188</v>
      </c>
      <c r="J13" s="220"/>
      <c r="K13" s="220"/>
      <c r="L13" s="221"/>
      <c r="M13" s="220"/>
      <c r="N13" s="220"/>
      <c r="O13" s="220"/>
      <c r="P13" s="316" t="s">
        <v>135</v>
      </c>
      <c r="Q13" s="317"/>
      <c r="R13" s="57"/>
      <c r="S13" s="57"/>
      <c r="T13" s="57"/>
      <c r="U13" s="44"/>
      <c r="V13"/>
      <c r="W13" s="56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44"/>
      <c r="BP13" s="57"/>
      <c r="BQ13"/>
      <c r="BR13"/>
      <c r="BS13" s="72" t="s">
        <v>186</v>
      </c>
      <c r="BT13" s="75" t="s">
        <v>189</v>
      </c>
      <c r="BU13" s="75">
        <v>1000</v>
      </c>
      <c r="BV13" s="75" t="s">
        <v>190</v>
      </c>
      <c r="BW13" s="75" t="s">
        <v>191</v>
      </c>
      <c r="BX13" s="74" t="s">
        <v>192</v>
      </c>
      <c r="BY13" s="74" t="s">
        <v>193</v>
      </c>
      <c r="BZ13" s="134">
        <v>8300</v>
      </c>
      <c r="CA13" s="74" t="s">
        <v>194</v>
      </c>
      <c r="CB13" s="74">
        <v>20</v>
      </c>
      <c r="CC13" s="74" t="s">
        <v>195</v>
      </c>
      <c r="CD13" s="316" t="s">
        <v>135</v>
      </c>
      <c r="CE13" s="317"/>
      <c r="CF13" s="57"/>
      <c r="CG13" s="57"/>
      <c r="CH13" s="57"/>
      <c r="CI13" s="44"/>
    </row>
    <row r="14" spans="1:87" s="52" customFormat="1">
      <c r="A14" s="44"/>
      <c r="B14" s="57"/>
      <c r="C14"/>
      <c r="D14"/>
      <c r="E14" s="172" t="s">
        <v>334</v>
      </c>
      <c r="F14" s="75" t="s">
        <v>2</v>
      </c>
      <c r="G14" s="213"/>
      <c r="H14" s="75" t="s">
        <v>98</v>
      </c>
      <c r="I14" s="75" t="s">
        <v>188</v>
      </c>
      <c r="J14" s="222"/>
      <c r="K14" s="222"/>
      <c r="L14" s="222"/>
      <c r="M14" s="222"/>
      <c r="N14" s="222"/>
      <c r="O14" s="222"/>
      <c r="P14" s="312" t="s">
        <v>135</v>
      </c>
      <c r="Q14" s="313"/>
      <c r="R14" s="57"/>
      <c r="S14" s="57"/>
      <c r="T14" s="57"/>
      <c r="U14" s="44"/>
      <c r="V14"/>
      <c r="W14" s="56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44"/>
      <c r="BP14" s="57"/>
      <c r="BQ14"/>
      <c r="BR14"/>
      <c r="BS14" s="72" t="s">
        <v>196</v>
      </c>
      <c r="BT14" s="75" t="s">
        <v>197</v>
      </c>
      <c r="BU14" s="75">
        <v>2000</v>
      </c>
      <c r="BV14" s="75" t="s">
        <v>190</v>
      </c>
      <c r="BW14" s="75" t="s">
        <v>198</v>
      </c>
      <c r="BX14" s="76" t="s">
        <v>135</v>
      </c>
      <c r="BY14" s="76" t="s">
        <v>135</v>
      </c>
      <c r="BZ14" s="76" t="s">
        <v>135</v>
      </c>
      <c r="CA14" s="76" t="s">
        <v>135</v>
      </c>
      <c r="CB14" s="76" t="s">
        <v>135</v>
      </c>
      <c r="CC14" s="76" t="s">
        <v>135</v>
      </c>
      <c r="CD14" s="312" t="s">
        <v>135</v>
      </c>
      <c r="CE14" s="313"/>
      <c r="CF14" s="57"/>
      <c r="CG14" s="57"/>
      <c r="CH14" s="57"/>
      <c r="CI14" s="44"/>
    </row>
    <row r="15" spans="1:87" s="52" customFormat="1">
      <c r="A15" s="44"/>
      <c r="B15" s="57"/>
      <c r="C15"/>
      <c r="D15"/>
      <c r="E15" s="172" t="s">
        <v>196</v>
      </c>
      <c r="F15" s="75" t="s">
        <v>199</v>
      </c>
      <c r="G15" s="213"/>
      <c r="H15" s="75" t="s">
        <v>98</v>
      </c>
      <c r="I15" s="75" t="s">
        <v>199</v>
      </c>
      <c r="J15" s="222"/>
      <c r="K15" s="222"/>
      <c r="L15" s="222"/>
      <c r="M15" s="222"/>
      <c r="N15" s="222"/>
      <c r="O15" s="222"/>
      <c r="P15" s="312" t="s">
        <v>135</v>
      </c>
      <c r="Q15" s="313"/>
      <c r="R15" s="57"/>
      <c r="S15" s="57"/>
      <c r="T15" s="57"/>
      <c r="U15" s="44"/>
      <c r="V15"/>
      <c r="W15" s="56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44"/>
      <c r="BP15" s="57"/>
      <c r="BQ15"/>
      <c r="BR15"/>
      <c r="BS15" s="72" t="s">
        <v>196</v>
      </c>
      <c r="BT15" s="75" t="s">
        <v>200</v>
      </c>
      <c r="BU15" s="75">
        <v>100</v>
      </c>
      <c r="BV15" s="75" t="s">
        <v>190</v>
      </c>
      <c r="BW15" s="75" t="s">
        <v>201</v>
      </c>
      <c r="BX15" s="76" t="s">
        <v>135</v>
      </c>
      <c r="BY15" s="76" t="s">
        <v>135</v>
      </c>
      <c r="BZ15" s="76"/>
      <c r="CA15" s="76"/>
      <c r="CB15" s="76" t="s">
        <v>135</v>
      </c>
      <c r="CC15" s="76" t="s">
        <v>135</v>
      </c>
      <c r="CD15" s="312" t="s">
        <v>135</v>
      </c>
      <c r="CE15" s="313"/>
      <c r="CF15" s="57"/>
      <c r="CG15" s="57"/>
      <c r="CH15" s="57"/>
      <c r="CI15" s="44"/>
    </row>
    <row r="16" spans="1:87" s="52" customFormat="1">
      <c r="A16" s="44"/>
      <c r="B16" s="57"/>
      <c r="C16"/>
      <c r="D16"/>
      <c r="E16" s="172" t="s">
        <v>196</v>
      </c>
      <c r="F16" s="75" t="s">
        <v>202</v>
      </c>
      <c r="G16" s="213"/>
      <c r="H16" s="75" t="s">
        <v>203</v>
      </c>
      <c r="I16" s="75" t="s">
        <v>204</v>
      </c>
      <c r="J16" s="223"/>
      <c r="K16" s="223"/>
      <c r="L16" s="223"/>
      <c r="M16" s="223"/>
      <c r="N16" s="222"/>
      <c r="O16" s="224"/>
      <c r="P16" s="312" t="s">
        <v>135</v>
      </c>
      <c r="Q16" s="313"/>
      <c r="R16" s="57"/>
      <c r="S16" s="57"/>
      <c r="T16" s="57"/>
      <c r="U16" s="44"/>
      <c r="V16"/>
      <c r="W16" s="56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44"/>
      <c r="BP16" s="57"/>
      <c r="BQ16"/>
      <c r="BR16"/>
      <c r="BS16" s="135" t="s">
        <v>196</v>
      </c>
      <c r="BT16" s="136" t="s">
        <v>205</v>
      </c>
      <c r="BU16" s="136">
        <v>100</v>
      </c>
      <c r="BV16" s="136" t="s">
        <v>190</v>
      </c>
      <c r="BW16" s="136" t="s">
        <v>201</v>
      </c>
      <c r="BX16" s="137" t="s">
        <v>135</v>
      </c>
      <c r="BY16" s="137" t="s">
        <v>135</v>
      </c>
      <c r="BZ16" s="137" t="s">
        <v>135</v>
      </c>
      <c r="CA16" s="137" t="s">
        <v>135</v>
      </c>
      <c r="CB16" s="137" t="s">
        <v>135</v>
      </c>
      <c r="CC16" s="137" t="s">
        <v>135</v>
      </c>
      <c r="CD16" s="312" t="s">
        <v>135</v>
      </c>
      <c r="CE16" s="313"/>
      <c r="CF16" s="57"/>
      <c r="CG16" s="57"/>
      <c r="CH16" s="57"/>
      <c r="CI16" s="44"/>
    </row>
    <row r="17" spans="1:87" s="52" customFormat="1">
      <c r="A17" s="44"/>
      <c r="B17" s="57"/>
      <c r="C17"/>
      <c r="D17"/>
      <c r="E17" s="172" t="s">
        <v>196</v>
      </c>
      <c r="F17" s="207" t="s">
        <v>206</v>
      </c>
      <c r="G17" s="213"/>
      <c r="H17" s="75" t="s">
        <v>203</v>
      </c>
      <c r="I17" s="207" t="s">
        <v>207</v>
      </c>
      <c r="J17" s="223"/>
      <c r="K17" s="223"/>
      <c r="L17" s="223"/>
      <c r="M17" s="223"/>
      <c r="N17" s="222"/>
      <c r="O17" s="224"/>
      <c r="P17" s="205"/>
      <c r="Q17" s="206"/>
      <c r="R17" s="57"/>
      <c r="S17" s="57"/>
      <c r="T17" s="57"/>
      <c r="U17" s="44"/>
      <c r="V17"/>
      <c r="W17" s="56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44"/>
      <c r="BP17" s="57"/>
      <c r="BQ17"/>
      <c r="BR17"/>
      <c r="BS17" s="135"/>
      <c r="BT17" s="136"/>
      <c r="BU17" s="136"/>
      <c r="BV17" s="136"/>
      <c r="BW17" s="136"/>
      <c r="BX17" s="137"/>
      <c r="BY17" s="137"/>
      <c r="BZ17" s="137"/>
      <c r="CA17" s="137"/>
      <c r="CB17" s="137"/>
      <c r="CC17" s="137"/>
      <c r="CD17" s="205"/>
      <c r="CE17" s="206"/>
      <c r="CF17" s="57"/>
      <c r="CG17" s="57"/>
      <c r="CH17" s="57"/>
      <c r="CI17" s="44"/>
    </row>
    <row r="18" spans="1:87" s="52" customFormat="1">
      <c r="A18" s="44"/>
      <c r="B18" s="57"/>
      <c r="C18"/>
      <c r="D18"/>
      <c r="E18" s="208"/>
      <c r="F18" s="209"/>
      <c r="G18" s="209"/>
      <c r="H18" s="209"/>
      <c r="I18" s="209"/>
      <c r="J18" s="210"/>
      <c r="K18" s="210"/>
      <c r="L18" s="210"/>
      <c r="M18" s="210"/>
      <c r="N18" s="211"/>
      <c r="O18" s="137"/>
      <c r="P18" s="205"/>
      <c r="Q18" s="206"/>
      <c r="R18" s="57"/>
      <c r="S18" s="57"/>
      <c r="T18" s="57"/>
      <c r="U18" s="44"/>
      <c r="V18"/>
      <c r="W18" s="56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44"/>
      <c r="BP18" s="57"/>
      <c r="BQ18"/>
      <c r="BR18"/>
      <c r="BS18" s="135"/>
      <c r="BT18" s="136"/>
      <c r="BU18" s="136"/>
      <c r="BV18" s="136"/>
      <c r="BW18" s="136"/>
      <c r="BX18" s="137"/>
      <c r="BY18" s="137"/>
      <c r="BZ18" s="137"/>
      <c r="CA18" s="137"/>
      <c r="CB18" s="137"/>
      <c r="CC18" s="137"/>
      <c r="CD18" s="205"/>
      <c r="CE18" s="206"/>
      <c r="CF18" s="57"/>
      <c r="CG18" s="57"/>
      <c r="CH18" s="57"/>
      <c r="CI18" s="44"/>
    </row>
    <row r="19" spans="1:87" s="52" customFormat="1">
      <c r="A19" s="44"/>
      <c r="B19" s="57"/>
      <c r="C19"/>
      <c r="D19"/>
      <c r="E19" s="77" t="s">
        <v>167</v>
      </c>
      <c r="F19" s="78" t="s">
        <v>167</v>
      </c>
      <c r="G19" s="78" t="s">
        <v>167</v>
      </c>
      <c r="H19" s="78" t="s">
        <v>167</v>
      </c>
      <c r="I19" s="78" t="s">
        <v>167</v>
      </c>
      <c r="J19" s="79" t="s">
        <v>167</v>
      </c>
      <c r="K19" s="79" t="s">
        <v>167</v>
      </c>
      <c r="L19" s="79" t="s">
        <v>167</v>
      </c>
      <c r="M19" s="79" t="s">
        <v>167</v>
      </c>
      <c r="N19" s="79" t="s">
        <v>167</v>
      </c>
      <c r="O19" s="79" t="s">
        <v>167</v>
      </c>
      <c r="P19" s="314" t="s">
        <v>167</v>
      </c>
      <c r="Q19" s="315"/>
      <c r="R19" s="57"/>
      <c r="S19" s="57"/>
      <c r="T19" s="57"/>
      <c r="U19" s="44"/>
      <c r="V19"/>
      <c r="W19" s="56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44"/>
      <c r="BP19" s="57"/>
      <c r="BQ19"/>
      <c r="BR19"/>
      <c r="BS19" s="77" t="s">
        <v>167</v>
      </c>
      <c r="BT19" s="78" t="s">
        <v>167</v>
      </c>
      <c r="BU19" s="78" t="s">
        <v>167</v>
      </c>
      <c r="BV19" s="78" t="s">
        <v>167</v>
      </c>
      <c r="BW19" s="78" t="s">
        <v>167</v>
      </c>
      <c r="BX19" s="79" t="s">
        <v>167</v>
      </c>
      <c r="BY19" s="79" t="s">
        <v>167</v>
      </c>
      <c r="BZ19" s="79" t="s">
        <v>167</v>
      </c>
      <c r="CA19" s="79" t="s">
        <v>167</v>
      </c>
      <c r="CB19" s="79" t="s">
        <v>167</v>
      </c>
      <c r="CC19" s="79" t="s">
        <v>167</v>
      </c>
      <c r="CD19" s="314" t="s">
        <v>167</v>
      </c>
      <c r="CE19" s="315"/>
      <c r="CF19" s="57"/>
      <c r="CG19" s="57"/>
      <c r="CH19" s="57"/>
      <c r="CI19" s="44"/>
    </row>
    <row r="20" spans="1:87" s="52" customFormat="1" ht="4.9000000000000004" customHeight="1">
      <c r="A20" s="44"/>
      <c r="B20" s="57"/>
      <c r="C20"/>
      <c r="D20"/>
      <c r="E20" s="50"/>
      <c r="F20" s="50"/>
      <c r="G20" s="50"/>
      <c r="H20" s="50"/>
      <c r="I20" s="50"/>
      <c r="J20" s="4"/>
      <c r="K20" s="4"/>
      <c r="L20" s="4"/>
      <c r="M20" s="4"/>
      <c r="N20" s="4"/>
      <c r="O20" s="4"/>
      <c r="P20" s="4"/>
      <c r="Q20" s="4"/>
      <c r="R20" s="57"/>
      <c r="S20" s="57"/>
      <c r="T20" s="57"/>
      <c r="U20" s="44"/>
      <c r="V20"/>
      <c r="W20" s="56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44"/>
      <c r="BP20" s="57"/>
      <c r="BQ20"/>
      <c r="BR20"/>
      <c r="BS20" s="50"/>
      <c r="BT20" s="50"/>
      <c r="BU20" s="50"/>
      <c r="BV20" s="50"/>
      <c r="BW20" s="50"/>
      <c r="BX20" s="4"/>
      <c r="BY20" s="4"/>
      <c r="BZ20" s="4"/>
      <c r="CA20" s="4"/>
      <c r="CB20" s="4"/>
      <c r="CC20" s="4"/>
      <c r="CD20" s="4"/>
      <c r="CE20" s="4"/>
      <c r="CF20" s="57"/>
      <c r="CG20" s="57"/>
      <c r="CH20" s="57"/>
      <c r="CI20" s="44"/>
    </row>
    <row r="21" spans="1:87" s="52" customFormat="1">
      <c r="A21" s="44"/>
      <c r="B21" s="57"/>
      <c r="C21" s="48" t="s">
        <v>172</v>
      </c>
      <c r="D21" s="80" t="s">
        <v>332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50"/>
      <c r="R21" s="57"/>
      <c r="S21" s="57"/>
      <c r="T21" s="57"/>
      <c r="U21" s="44"/>
      <c r="V21"/>
      <c r="W21" s="56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44"/>
      <c r="BP21" s="57"/>
      <c r="BQ21" s="48" t="s">
        <v>172</v>
      </c>
      <c r="BR21" s="80" t="s">
        <v>208</v>
      </c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50"/>
      <c r="CF21" s="57"/>
      <c r="CG21" s="57"/>
      <c r="CH21" s="57"/>
      <c r="CI21" s="44"/>
    </row>
    <row r="22" spans="1:87" s="52" customFormat="1">
      <c r="A22" s="44"/>
      <c r="B22" s="57"/>
      <c r="C22"/>
      <c r="D22"/>
      <c r="E22" s="184" t="s">
        <v>174</v>
      </c>
      <c r="F22" s="185" t="s">
        <v>175</v>
      </c>
      <c r="G22" s="185" t="s">
        <v>96</v>
      </c>
      <c r="H22" s="187" t="s">
        <v>209</v>
      </c>
      <c r="I22" s="185" t="s">
        <v>177</v>
      </c>
      <c r="J22" s="276" t="s">
        <v>182</v>
      </c>
      <c r="K22" s="276"/>
      <c r="L22" s="276"/>
      <c r="M22" s="276"/>
      <c r="N22" s="276"/>
      <c r="O22" s="276"/>
      <c r="P22" s="276"/>
      <c r="Q22" s="277"/>
      <c r="R22" s="57"/>
      <c r="S22" s="57"/>
      <c r="T22" s="57"/>
      <c r="U22" s="44"/>
      <c r="V22"/>
      <c r="W22" s="56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44"/>
      <c r="BP22" s="57"/>
      <c r="BQ22"/>
      <c r="BR22"/>
      <c r="BS22" s="184" t="s">
        <v>174</v>
      </c>
      <c r="BT22" s="185" t="s">
        <v>175</v>
      </c>
      <c r="BU22" s="185" t="s">
        <v>96</v>
      </c>
      <c r="BV22" s="187" t="s">
        <v>209</v>
      </c>
      <c r="BW22" s="186" t="s">
        <v>177</v>
      </c>
      <c r="BX22" s="276" t="s">
        <v>182</v>
      </c>
      <c r="BY22" s="276"/>
      <c r="BZ22" s="276"/>
      <c r="CA22" s="276"/>
      <c r="CB22" s="276"/>
      <c r="CC22" s="276"/>
      <c r="CD22" s="306"/>
      <c r="CE22" s="277"/>
      <c r="CF22" s="57"/>
      <c r="CG22" s="57"/>
      <c r="CH22" s="57"/>
      <c r="CI22" s="44"/>
    </row>
    <row r="23" spans="1:87" s="52" customFormat="1">
      <c r="A23" s="44"/>
      <c r="B23" s="57"/>
      <c r="C23"/>
      <c r="D23"/>
      <c r="E23" s="82" t="s">
        <v>208</v>
      </c>
      <c r="F23" s="87" t="s">
        <v>210</v>
      </c>
      <c r="G23" s="225"/>
      <c r="H23" s="238" t="s">
        <v>211</v>
      </c>
      <c r="I23" s="226"/>
      <c r="J23" s="290" t="s">
        <v>212</v>
      </c>
      <c r="K23" s="307"/>
      <c r="L23" s="307"/>
      <c r="M23" s="307"/>
      <c r="N23" s="307"/>
      <c r="O23" s="307"/>
      <c r="P23" s="307"/>
      <c r="Q23" s="308"/>
      <c r="R23" s="57"/>
      <c r="S23" s="57"/>
      <c r="T23" s="57"/>
      <c r="U23" s="44"/>
      <c r="V23"/>
      <c r="W23" s="56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44"/>
      <c r="BP23" s="57"/>
      <c r="BQ23"/>
      <c r="BR23"/>
      <c r="BS23" s="86" t="s">
        <v>208</v>
      </c>
      <c r="BT23" s="87" t="s">
        <v>210</v>
      </c>
      <c r="BU23" s="88">
        <v>200000</v>
      </c>
      <c r="BV23" s="87" t="s">
        <v>213</v>
      </c>
      <c r="BW23" s="89" t="s">
        <v>214</v>
      </c>
      <c r="BX23" s="290"/>
      <c r="BY23" s="307"/>
      <c r="BZ23" s="307"/>
      <c r="CA23" s="307"/>
      <c r="CB23" s="307"/>
      <c r="CC23" s="307"/>
      <c r="CD23" s="307"/>
      <c r="CE23" s="308"/>
      <c r="CF23" s="57"/>
      <c r="CG23" s="57"/>
      <c r="CH23" s="57"/>
      <c r="CI23" s="44"/>
    </row>
    <row r="24" spans="1:87" s="52" customFormat="1">
      <c r="A24" s="44"/>
      <c r="B24" s="57"/>
      <c r="C24"/>
      <c r="D24"/>
      <c r="E24" s="228" t="s">
        <v>208</v>
      </c>
      <c r="F24" s="229" t="s">
        <v>215</v>
      </c>
      <c r="G24" s="230"/>
      <c r="H24" s="229" t="s">
        <v>211</v>
      </c>
      <c r="I24" s="231"/>
      <c r="J24" s="309" t="s">
        <v>216</v>
      </c>
      <c r="K24" s="310"/>
      <c r="L24" s="310"/>
      <c r="M24" s="310"/>
      <c r="N24" s="310"/>
      <c r="O24" s="310"/>
      <c r="P24" s="310"/>
      <c r="Q24" s="311"/>
      <c r="R24" s="57"/>
      <c r="S24" s="57"/>
      <c r="T24" s="57"/>
      <c r="U24" s="44"/>
      <c r="V24"/>
      <c r="W24" s="56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44"/>
      <c r="BP24" s="57"/>
      <c r="BQ24"/>
      <c r="BR24"/>
      <c r="BS24" s="235"/>
      <c r="BT24" s="229"/>
      <c r="BU24" s="236"/>
      <c r="BV24" s="229"/>
      <c r="BW24" s="237"/>
      <c r="BX24" s="232"/>
      <c r="BY24" s="233"/>
      <c r="BZ24" s="233"/>
      <c r="CA24" s="233"/>
      <c r="CB24" s="233"/>
      <c r="CC24" s="233"/>
      <c r="CD24" s="233"/>
      <c r="CE24" s="234"/>
      <c r="CF24" s="57"/>
      <c r="CG24" s="57"/>
      <c r="CH24" s="57"/>
      <c r="CI24" s="44"/>
    </row>
    <row r="25" spans="1:87" s="52" customFormat="1">
      <c r="A25" s="44"/>
      <c r="B25" s="57"/>
      <c r="C25"/>
      <c r="D25"/>
      <c r="E25" s="83" t="s">
        <v>208</v>
      </c>
      <c r="F25" s="91" t="s">
        <v>217</v>
      </c>
      <c r="G25" s="230"/>
      <c r="H25" s="91" t="s">
        <v>203</v>
      </c>
      <c r="I25" s="231"/>
      <c r="J25" s="294"/>
      <c r="K25" s="295"/>
      <c r="L25" s="295"/>
      <c r="M25" s="295"/>
      <c r="N25" s="295"/>
      <c r="O25" s="295"/>
      <c r="P25" s="295"/>
      <c r="Q25" s="296"/>
      <c r="R25" s="57"/>
      <c r="S25" s="57"/>
      <c r="T25" s="57"/>
      <c r="U25" s="44"/>
      <c r="V25"/>
      <c r="W25" s="56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44"/>
      <c r="BP25" s="57"/>
      <c r="BQ25"/>
      <c r="BR25"/>
      <c r="BS25" s="90" t="s">
        <v>208</v>
      </c>
      <c r="BT25" s="91" t="s">
        <v>218</v>
      </c>
      <c r="BU25" s="92">
        <v>100000</v>
      </c>
      <c r="BV25" s="91" t="s">
        <v>190</v>
      </c>
      <c r="BW25" s="93" t="s">
        <v>219</v>
      </c>
      <c r="BX25" s="294"/>
      <c r="BY25" s="295"/>
      <c r="BZ25" s="295"/>
      <c r="CA25" s="295"/>
      <c r="CB25" s="295"/>
      <c r="CC25" s="295"/>
      <c r="CD25" s="295"/>
      <c r="CE25" s="296"/>
      <c r="CF25" s="57"/>
      <c r="CG25" s="57"/>
      <c r="CH25" s="57"/>
      <c r="CI25" s="44"/>
    </row>
    <row r="26" spans="1:87" s="52" customFormat="1">
      <c r="A26" s="44"/>
      <c r="B26" s="57"/>
      <c r="C26"/>
      <c r="D26"/>
      <c r="E26" s="94" t="s">
        <v>167</v>
      </c>
      <c r="F26" s="95" t="s">
        <v>167</v>
      </c>
      <c r="G26" s="95" t="s">
        <v>167</v>
      </c>
      <c r="H26" s="95" t="s">
        <v>167</v>
      </c>
      <c r="I26" s="96" t="s">
        <v>167</v>
      </c>
      <c r="J26" s="297" t="s">
        <v>220</v>
      </c>
      <c r="K26" s="298"/>
      <c r="L26" s="298"/>
      <c r="M26" s="298"/>
      <c r="N26" s="298"/>
      <c r="O26" s="298"/>
      <c r="P26" s="298"/>
      <c r="Q26" s="299"/>
      <c r="R26" s="57"/>
      <c r="S26" s="57"/>
      <c r="T26" s="57"/>
      <c r="U26" s="44"/>
      <c r="V26"/>
      <c r="W26" s="56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44"/>
      <c r="BP26" s="57"/>
      <c r="BQ26"/>
      <c r="BR26"/>
      <c r="BS26" s="94" t="s">
        <v>167</v>
      </c>
      <c r="BT26" s="95" t="s">
        <v>167</v>
      </c>
      <c r="BU26" s="95" t="s">
        <v>167</v>
      </c>
      <c r="BV26" s="95" t="s">
        <v>167</v>
      </c>
      <c r="BW26" s="96" t="s">
        <v>167</v>
      </c>
      <c r="BX26" s="297" t="s">
        <v>220</v>
      </c>
      <c r="BY26" s="298"/>
      <c r="BZ26" s="298"/>
      <c r="CA26" s="298"/>
      <c r="CB26" s="298"/>
      <c r="CC26" s="298"/>
      <c r="CD26" s="298"/>
      <c r="CE26" s="299"/>
      <c r="CF26" s="57"/>
      <c r="CG26" s="57"/>
      <c r="CH26" s="57"/>
      <c r="CI26" s="44"/>
    </row>
    <row r="27" spans="1:87" s="52" customFormat="1" ht="39.6" customHeight="1">
      <c r="A27" s="44"/>
      <c r="B27" s="57"/>
      <c r="C27"/>
      <c r="D27"/>
      <c r="E27" s="190" t="s">
        <v>174</v>
      </c>
      <c r="F27" s="188" t="s">
        <v>175</v>
      </c>
      <c r="G27" s="188" t="s">
        <v>96</v>
      </c>
      <c r="H27" s="188" t="s">
        <v>209</v>
      </c>
      <c r="I27" s="188" t="s">
        <v>177</v>
      </c>
      <c r="J27" s="300" t="s">
        <v>221</v>
      </c>
      <c r="K27" s="300"/>
      <c r="L27" s="188" t="s">
        <v>222</v>
      </c>
      <c r="M27" s="301" t="s">
        <v>223</v>
      </c>
      <c r="N27" s="301"/>
      <c r="O27" s="189" t="s">
        <v>224</v>
      </c>
      <c r="P27" s="189" t="s">
        <v>225</v>
      </c>
      <c r="Q27" s="192" t="s">
        <v>226</v>
      </c>
      <c r="R27" s="57"/>
      <c r="S27" s="57"/>
      <c r="T27" s="57"/>
      <c r="U27" s="44"/>
      <c r="V27"/>
      <c r="W27" s="56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44"/>
      <c r="BP27" s="57"/>
      <c r="BQ27"/>
      <c r="BR27"/>
      <c r="BS27" s="190" t="s">
        <v>174</v>
      </c>
      <c r="BT27" s="188" t="s">
        <v>175</v>
      </c>
      <c r="BU27" s="188" t="s">
        <v>96</v>
      </c>
      <c r="BV27" s="188" t="s">
        <v>209</v>
      </c>
      <c r="BW27" s="191" t="s">
        <v>177</v>
      </c>
      <c r="BX27" s="302" t="s">
        <v>221</v>
      </c>
      <c r="BY27" s="303"/>
      <c r="BZ27" s="188" t="s">
        <v>222</v>
      </c>
      <c r="CA27" s="304" t="s">
        <v>223</v>
      </c>
      <c r="CB27" s="305"/>
      <c r="CC27" s="189" t="s">
        <v>224</v>
      </c>
      <c r="CD27" s="189" t="s">
        <v>225</v>
      </c>
      <c r="CE27" s="192" t="s">
        <v>226</v>
      </c>
      <c r="CF27" s="57"/>
      <c r="CG27" s="57"/>
      <c r="CH27" s="57"/>
      <c r="CI27" s="44"/>
    </row>
    <row r="28" spans="1:87" s="52" customFormat="1">
      <c r="A28" s="44"/>
      <c r="B28" s="57"/>
      <c r="C28"/>
      <c r="D28"/>
      <c r="E28" s="97" t="s">
        <v>208</v>
      </c>
      <c r="F28" s="98"/>
      <c r="G28" s="99"/>
      <c r="H28" s="99"/>
      <c r="I28" s="89"/>
      <c r="J28" s="290"/>
      <c r="K28" s="291"/>
      <c r="L28" s="100"/>
      <c r="M28" s="290"/>
      <c r="N28" s="291"/>
      <c r="O28" s="100"/>
      <c r="P28" s="100"/>
      <c r="Q28" s="101"/>
      <c r="R28" s="57"/>
      <c r="S28" s="57"/>
      <c r="T28" s="57"/>
      <c r="U28" s="44"/>
      <c r="V28"/>
      <c r="W28" s="56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44"/>
      <c r="BP28" s="57"/>
      <c r="BQ28"/>
      <c r="BR28"/>
      <c r="BS28" s="97" t="s">
        <v>208</v>
      </c>
      <c r="BT28" s="98" t="s">
        <v>227</v>
      </c>
      <c r="BU28" s="99">
        <v>400000</v>
      </c>
      <c r="BV28" s="99" t="s">
        <v>228</v>
      </c>
      <c r="BW28" s="89" t="s">
        <v>229</v>
      </c>
      <c r="BX28" s="290" t="s">
        <v>230</v>
      </c>
      <c r="BY28" s="291"/>
      <c r="BZ28" s="100" t="s">
        <v>231</v>
      </c>
      <c r="CA28" s="290" t="s">
        <v>231</v>
      </c>
      <c r="CB28" s="291"/>
      <c r="CC28" s="100" t="s">
        <v>232</v>
      </c>
      <c r="CD28" s="100" t="s">
        <v>233</v>
      </c>
      <c r="CE28" s="101" t="s">
        <v>234</v>
      </c>
      <c r="CF28" s="57"/>
      <c r="CG28" s="57"/>
      <c r="CH28" s="57"/>
      <c r="CI28" s="44"/>
    </row>
    <row r="29" spans="1:87" s="52" customFormat="1">
      <c r="A29" s="44"/>
      <c r="B29" s="57"/>
      <c r="C29"/>
      <c r="D29"/>
      <c r="E29" s="102" t="s">
        <v>167</v>
      </c>
      <c r="F29" s="84" t="s">
        <v>167</v>
      </c>
      <c r="G29" s="84" t="s">
        <v>167</v>
      </c>
      <c r="H29" s="84" t="s">
        <v>167</v>
      </c>
      <c r="I29" s="85" t="s">
        <v>220</v>
      </c>
      <c r="J29" s="292" t="s">
        <v>167</v>
      </c>
      <c r="K29" s="293"/>
      <c r="L29" s="81" t="s">
        <v>167</v>
      </c>
      <c r="M29" s="292" t="s">
        <v>167</v>
      </c>
      <c r="N29" s="293"/>
      <c r="O29" s="81" t="s">
        <v>167</v>
      </c>
      <c r="P29" s="81" t="s">
        <v>167</v>
      </c>
      <c r="Q29" s="103" t="s">
        <v>167</v>
      </c>
      <c r="R29" s="57"/>
      <c r="S29" s="57"/>
      <c r="T29" s="57"/>
      <c r="U29" s="44"/>
      <c r="V29"/>
      <c r="W29" s="56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44"/>
      <c r="BP29" s="57"/>
      <c r="BQ29"/>
      <c r="BR29"/>
      <c r="BS29" s="102" t="s">
        <v>167</v>
      </c>
      <c r="BT29" s="84" t="s">
        <v>167</v>
      </c>
      <c r="BU29" s="84" t="s">
        <v>167</v>
      </c>
      <c r="BV29" s="84" t="s">
        <v>167</v>
      </c>
      <c r="BW29" s="85" t="s">
        <v>220</v>
      </c>
      <c r="BX29" s="292" t="s">
        <v>167</v>
      </c>
      <c r="BY29" s="293"/>
      <c r="BZ29" s="81" t="s">
        <v>167</v>
      </c>
      <c r="CA29" s="292" t="s">
        <v>167</v>
      </c>
      <c r="CB29" s="293"/>
      <c r="CC29" s="81" t="s">
        <v>167</v>
      </c>
      <c r="CD29" s="81" t="s">
        <v>167</v>
      </c>
      <c r="CE29" s="103" t="s">
        <v>167</v>
      </c>
      <c r="CF29" s="57"/>
      <c r="CG29" s="57"/>
      <c r="CH29" s="57"/>
      <c r="CI29" s="44"/>
    </row>
    <row r="30" spans="1:87" s="52" customFormat="1" ht="4.9000000000000004" customHeight="1">
      <c r="A30" s="44"/>
      <c r="B30" s="57"/>
      <c r="C30"/>
      <c r="D30"/>
      <c r="E30" s="50"/>
      <c r="F30" s="50"/>
      <c r="G30" s="50"/>
      <c r="H30" s="50"/>
      <c r="I30" s="50"/>
      <c r="J30" s="4"/>
      <c r="K30" s="4"/>
      <c r="L30" s="4"/>
      <c r="M30" s="4"/>
      <c r="N30" s="4"/>
      <c r="O30" s="4"/>
      <c r="P30" s="4"/>
      <c r="Q30" s="4"/>
      <c r="R30" s="57"/>
      <c r="S30" s="57"/>
      <c r="T30" s="57"/>
      <c r="U30" s="44"/>
      <c r="V30"/>
      <c r="W30" s="56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44"/>
      <c r="BP30" s="57"/>
      <c r="BQ30"/>
      <c r="BR30"/>
      <c r="BS30" s="50"/>
      <c r="BT30" s="50"/>
      <c r="BU30" s="50"/>
      <c r="BV30" s="50"/>
      <c r="BW30" s="50"/>
      <c r="BX30" s="4"/>
      <c r="BY30" s="4"/>
      <c r="BZ30" s="4"/>
      <c r="CA30" s="4"/>
      <c r="CB30" s="4"/>
      <c r="CC30" s="4"/>
      <c r="CD30" s="4"/>
      <c r="CE30" s="4"/>
      <c r="CF30" s="57"/>
      <c r="CG30" s="57"/>
      <c r="CH30" s="57"/>
      <c r="CI30" s="44"/>
    </row>
    <row r="31" spans="1:87" s="52" customFormat="1">
      <c r="A31" s="44"/>
      <c r="B31" s="57"/>
      <c r="C31" s="48" t="s">
        <v>172</v>
      </c>
      <c r="D31" s="80" t="s">
        <v>43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50"/>
      <c r="R31" s="57"/>
      <c r="S31" s="57"/>
      <c r="T31" s="57"/>
      <c r="U31" s="44"/>
      <c r="V31"/>
      <c r="W31" s="56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44"/>
      <c r="BP31" s="57"/>
      <c r="BQ31" s="48" t="s">
        <v>172</v>
      </c>
      <c r="BR31" s="80" t="s">
        <v>43</v>
      </c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50"/>
      <c r="CF31" s="57"/>
      <c r="CG31" s="57"/>
      <c r="CH31" s="57"/>
      <c r="CI31" s="44"/>
    </row>
    <row r="32" spans="1:87" s="52" customFormat="1">
      <c r="A32" s="44"/>
      <c r="B32" s="57"/>
      <c r="C32"/>
      <c r="D32"/>
      <c r="E32" s="184" t="s">
        <v>174</v>
      </c>
      <c r="F32" s="185" t="s">
        <v>175</v>
      </c>
      <c r="G32" s="185" t="s">
        <v>96</v>
      </c>
      <c r="H32" s="185" t="s">
        <v>209</v>
      </c>
      <c r="I32" s="185" t="s">
        <v>177</v>
      </c>
      <c r="J32" s="276" t="s">
        <v>182</v>
      </c>
      <c r="K32" s="276"/>
      <c r="L32" s="276"/>
      <c r="M32" s="276"/>
      <c r="N32" s="276"/>
      <c r="O32" s="276"/>
      <c r="P32" s="276"/>
      <c r="Q32" s="277"/>
      <c r="R32" s="57"/>
      <c r="S32" s="57"/>
      <c r="T32" s="57"/>
      <c r="U32" s="44"/>
      <c r="V32"/>
      <c r="W32" s="56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57"/>
      <c r="BM32" s="57"/>
      <c r="BN32" s="57"/>
      <c r="BO32" s="44"/>
      <c r="BP32" s="57"/>
      <c r="BQ32"/>
      <c r="BR32"/>
      <c r="BS32" s="193" t="s">
        <v>174</v>
      </c>
      <c r="BT32" s="194" t="s">
        <v>175</v>
      </c>
      <c r="BU32" s="194" t="s">
        <v>96</v>
      </c>
      <c r="BV32" s="194" t="s">
        <v>209</v>
      </c>
      <c r="BW32" s="195" t="s">
        <v>177</v>
      </c>
      <c r="BX32" s="278" t="s">
        <v>182</v>
      </c>
      <c r="BY32" s="279"/>
      <c r="BZ32" s="279"/>
      <c r="CA32" s="279"/>
      <c r="CB32" s="279"/>
      <c r="CC32" s="279"/>
      <c r="CD32" s="279"/>
      <c r="CE32" s="280"/>
      <c r="CF32" s="57"/>
      <c r="CG32" s="57"/>
      <c r="CH32" s="57"/>
      <c r="CI32" s="44"/>
    </row>
    <row r="33" spans="1:87" s="52" customFormat="1">
      <c r="A33" s="44"/>
      <c r="B33" s="57"/>
      <c r="C33"/>
      <c r="D33"/>
      <c r="E33" s="104" t="s">
        <v>43</v>
      </c>
      <c r="F33" s="107" t="s">
        <v>235</v>
      </c>
      <c r="G33" s="215"/>
      <c r="H33" s="215"/>
      <c r="I33" s="227"/>
      <c r="J33" s="281" t="s">
        <v>236</v>
      </c>
      <c r="K33" s="282"/>
      <c r="L33" s="282"/>
      <c r="M33" s="282"/>
      <c r="N33" s="282"/>
      <c r="O33" s="282"/>
      <c r="P33" s="282"/>
      <c r="Q33" s="283"/>
      <c r="R33" s="57"/>
      <c r="S33" s="57"/>
      <c r="T33" s="57"/>
      <c r="U33" s="44"/>
      <c r="V33"/>
      <c r="W33" s="56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44"/>
      <c r="BP33" s="57"/>
      <c r="BQ33"/>
      <c r="BR33"/>
      <c r="BS33" s="104" t="s">
        <v>43</v>
      </c>
      <c r="BT33" s="107" t="s">
        <v>237</v>
      </c>
      <c r="BU33" s="107">
        <v>120</v>
      </c>
      <c r="BV33" s="107" t="s">
        <v>190</v>
      </c>
      <c r="BW33" s="108" t="s">
        <v>238</v>
      </c>
      <c r="BX33" s="284" t="s">
        <v>239</v>
      </c>
      <c r="BY33" s="285"/>
      <c r="BZ33" s="285"/>
      <c r="CA33" s="285"/>
      <c r="CB33" s="285"/>
      <c r="CC33" s="285"/>
      <c r="CD33" s="285"/>
      <c r="CE33" s="286"/>
      <c r="CF33" s="57"/>
      <c r="CG33" s="57"/>
      <c r="CH33" s="57"/>
      <c r="CI33" s="44"/>
    </row>
    <row r="34" spans="1:87" s="52" customFormat="1">
      <c r="A34" s="44"/>
      <c r="B34" s="57"/>
      <c r="C34"/>
      <c r="D34"/>
      <c r="E34" s="105" t="s">
        <v>43</v>
      </c>
      <c r="F34" s="109"/>
      <c r="G34" s="109"/>
      <c r="H34" s="109"/>
      <c r="I34" s="110"/>
      <c r="J34" s="287"/>
      <c r="K34" s="288"/>
      <c r="L34" s="288"/>
      <c r="M34" s="288"/>
      <c r="N34" s="288"/>
      <c r="O34" s="288"/>
      <c r="P34" s="288"/>
      <c r="Q34" s="289"/>
      <c r="R34" s="57"/>
      <c r="S34" s="57"/>
      <c r="T34" s="57"/>
      <c r="U34" s="44"/>
      <c r="V34"/>
      <c r="W34" s="56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  <c r="BM34" s="57"/>
      <c r="BN34" s="57"/>
      <c r="BO34" s="44"/>
      <c r="BP34" s="57"/>
      <c r="BQ34"/>
      <c r="BR34"/>
      <c r="BS34" s="105" t="s">
        <v>43</v>
      </c>
      <c r="BT34" s="109" t="s">
        <v>240</v>
      </c>
      <c r="BU34" s="109">
        <v>120</v>
      </c>
      <c r="BV34" s="109" t="s">
        <v>190</v>
      </c>
      <c r="BW34" s="110" t="s">
        <v>241</v>
      </c>
      <c r="BX34" s="287" t="s">
        <v>242</v>
      </c>
      <c r="BY34" s="288"/>
      <c r="BZ34" s="288"/>
      <c r="CA34" s="288"/>
      <c r="CB34" s="288"/>
      <c r="CC34" s="288"/>
      <c r="CD34" s="288"/>
      <c r="CE34" s="289"/>
      <c r="CF34" s="57"/>
      <c r="CG34" s="57"/>
      <c r="CH34" s="57"/>
      <c r="CI34" s="44"/>
    </row>
    <row r="35" spans="1:87" s="52" customFormat="1">
      <c r="A35" s="44"/>
      <c r="B35" s="57"/>
      <c r="C35"/>
      <c r="D35"/>
      <c r="E35" s="111" t="s">
        <v>167</v>
      </c>
      <c r="F35" s="112" t="s">
        <v>167</v>
      </c>
      <c r="G35" s="112" t="s">
        <v>167</v>
      </c>
      <c r="H35" s="112" t="s">
        <v>167</v>
      </c>
      <c r="I35" s="106" t="s">
        <v>167</v>
      </c>
      <c r="J35" s="273" t="s">
        <v>167</v>
      </c>
      <c r="K35" s="274"/>
      <c r="L35" s="274"/>
      <c r="M35" s="274"/>
      <c r="N35" s="274"/>
      <c r="O35" s="274"/>
      <c r="P35" s="274"/>
      <c r="Q35" s="275"/>
      <c r="R35" s="57"/>
      <c r="S35" s="57"/>
      <c r="T35" s="57"/>
      <c r="U35" s="44"/>
      <c r="V35"/>
      <c r="W35" s="56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44"/>
      <c r="BP35" s="57"/>
      <c r="BQ35"/>
      <c r="BR35"/>
      <c r="BS35" s="111" t="s">
        <v>167</v>
      </c>
      <c r="BT35" s="112" t="s">
        <v>167</v>
      </c>
      <c r="BU35" s="112" t="s">
        <v>167</v>
      </c>
      <c r="BV35" s="112" t="s">
        <v>167</v>
      </c>
      <c r="BW35" s="106" t="s">
        <v>167</v>
      </c>
      <c r="BX35" s="273" t="s">
        <v>167</v>
      </c>
      <c r="BY35" s="274"/>
      <c r="BZ35" s="274"/>
      <c r="CA35" s="274"/>
      <c r="CB35" s="274"/>
      <c r="CC35" s="274"/>
      <c r="CD35" s="274"/>
      <c r="CE35" s="275"/>
      <c r="CF35" s="57"/>
      <c r="CG35" s="57"/>
      <c r="CH35" s="57"/>
      <c r="CI35" s="44"/>
    </row>
    <row r="36" spans="1:87" s="52" customFormat="1" ht="4.9000000000000004" customHeight="1">
      <c r="A36" s="44"/>
      <c r="B36" s="57"/>
      <c r="C36"/>
      <c r="D36"/>
      <c r="E36" s="50"/>
      <c r="F36" s="50"/>
      <c r="G36" s="50"/>
      <c r="H36" s="50"/>
      <c r="I36" s="50"/>
      <c r="J36" s="4"/>
      <c r="K36" s="4"/>
      <c r="L36" s="4"/>
      <c r="M36" s="4"/>
      <c r="N36" s="4"/>
      <c r="O36" s="4"/>
      <c r="P36" s="4"/>
      <c r="Q36" s="4"/>
      <c r="R36" s="57"/>
      <c r="S36" s="57"/>
      <c r="T36" s="57"/>
      <c r="U36" s="44"/>
      <c r="V36"/>
      <c r="W36" s="56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44"/>
      <c r="BP36" s="57"/>
      <c r="BQ36"/>
      <c r="BR36"/>
      <c r="BS36" s="50"/>
      <c r="BT36" s="50"/>
      <c r="BU36" s="50"/>
      <c r="BV36" s="50"/>
      <c r="BW36" s="50"/>
      <c r="BX36" s="4"/>
      <c r="BY36" s="4"/>
      <c r="BZ36" s="4"/>
      <c r="CA36" s="4"/>
      <c r="CB36" s="4"/>
      <c r="CC36" s="4"/>
      <c r="CD36" s="4"/>
      <c r="CE36" s="4"/>
      <c r="CF36" s="57"/>
      <c r="CG36" s="57"/>
      <c r="CH36" s="57"/>
      <c r="CI36" s="44"/>
    </row>
    <row r="37" spans="1:87" s="52" customFormat="1">
      <c r="A37" s="44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/>
      <c r="R37" s="57"/>
      <c r="S37" s="57"/>
      <c r="T37" s="57"/>
      <c r="U37" s="44"/>
      <c r="V37"/>
      <c r="W37" s="56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44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/>
      <c r="CF37" s="57"/>
      <c r="CG37" s="57"/>
      <c r="CH37" s="57"/>
      <c r="CI37" s="44"/>
    </row>
    <row r="38" spans="1:87" s="52" customForma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/>
      <c r="W38" s="56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</row>
    <row r="39" spans="1:87"/>
  </sheetData>
  <mergeCells count="61">
    <mergeCell ref="D9:F9"/>
    <mergeCell ref="BR9:BT9"/>
    <mergeCell ref="E10:E12"/>
    <mergeCell ref="F10:F12"/>
    <mergeCell ref="G10:G12"/>
    <mergeCell ref="H10:H12"/>
    <mergeCell ref="I10:I12"/>
    <mergeCell ref="J10:Q10"/>
    <mergeCell ref="BS10:BS12"/>
    <mergeCell ref="BT10:BT12"/>
    <mergeCell ref="BU10:BU12"/>
    <mergeCell ref="BV10:BV12"/>
    <mergeCell ref="BW10:BW12"/>
    <mergeCell ref="BX10:CE10"/>
    <mergeCell ref="J11:J12"/>
    <mergeCell ref="K11:N11"/>
    <mergeCell ref="O11:O12"/>
    <mergeCell ref="P11:Q12"/>
    <mergeCell ref="BX11:BX12"/>
    <mergeCell ref="BY11:CB11"/>
    <mergeCell ref="CC11:CC12"/>
    <mergeCell ref="CD11:CE12"/>
    <mergeCell ref="P13:Q13"/>
    <mergeCell ref="CD13:CE13"/>
    <mergeCell ref="P14:Q14"/>
    <mergeCell ref="CD14:CE14"/>
    <mergeCell ref="P15:Q15"/>
    <mergeCell ref="CD15:CE15"/>
    <mergeCell ref="P16:Q16"/>
    <mergeCell ref="CD16:CE16"/>
    <mergeCell ref="P19:Q19"/>
    <mergeCell ref="CD19:CE19"/>
    <mergeCell ref="J22:Q22"/>
    <mergeCell ref="BX22:CE22"/>
    <mergeCell ref="J23:Q23"/>
    <mergeCell ref="BX23:CE23"/>
    <mergeCell ref="J24:Q24"/>
    <mergeCell ref="J25:Q25"/>
    <mergeCell ref="BX25:CE25"/>
    <mergeCell ref="J26:Q26"/>
    <mergeCell ref="BX26:CE26"/>
    <mergeCell ref="J27:K27"/>
    <mergeCell ref="M27:N27"/>
    <mergeCell ref="BX27:BY27"/>
    <mergeCell ref="CA27:CB27"/>
    <mergeCell ref="J28:K28"/>
    <mergeCell ref="M28:N28"/>
    <mergeCell ref="BX28:BY28"/>
    <mergeCell ref="CA28:CB28"/>
    <mergeCell ref="J29:K29"/>
    <mergeCell ref="M29:N29"/>
    <mergeCell ref="BX29:BY29"/>
    <mergeCell ref="CA29:CB29"/>
    <mergeCell ref="J35:Q35"/>
    <mergeCell ref="BX35:CE35"/>
    <mergeCell ref="J32:Q32"/>
    <mergeCell ref="BX32:CE32"/>
    <mergeCell ref="J33:Q33"/>
    <mergeCell ref="BX33:CE33"/>
    <mergeCell ref="J34:Q34"/>
    <mergeCell ref="BX34:CE34"/>
  </mergeCells>
  <phoneticPr fontId="35" type="noConversion"/>
  <pageMargins left="0.69972223043441772" right="0.69972223043441772" top="0.75" bottom="0.75" header="0.30000001192092896" footer="0.30000001192092896"/>
  <pageSetup paperSize="9" scale="39" orientation="portrait" r:id="rId1"/>
  <colBreaks count="1" manualBreakCount="1">
    <brk id="21" max="1638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DN99"/>
  <sheetViews>
    <sheetView showGridLines="0" view="pageBreakPreview" topLeftCell="A3" zoomScale="90" zoomScaleNormal="90" zoomScaleSheetLayoutView="100" workbookViewId="0">
      <selection activeCell="I15" sqref="I15"/>
    </sheetView>
  </sheetViews>
  <sheetFormatPr defaultColWidth="0" defaultRowHeight="0" customHeight="1" zeroHeight="1"/>
  <cols>
    <col min="1" max="4" width="2.625" style="57" customWidth="1"/>
    <col min="5" max="5" width="14.375" style="57" customWidth="1"/>
    <col min="6" max="6" width="13.25" style="57" customWidth="1"/>
    <col min="7" max="7" width="12.75" style="57" customWidth="1"/>
    <col min="8" max="8" width="11.75" style="57" customWidth="1"/>
    <col min="9" max="9" width="12.25" style="57" customWidth="1"/>
    <col min="10" max="10" width="8.375" style="57" customWidth="1"/>
    <col min="11" max="11" width="14.375" style="57" customWidth="1"/>
    <col min="12" max="12" width="9.125" style="57" customWidth="1"/>
    <col min="13" max="13" width="8.5" style="57" customWidth="1"/>
    <col min="14" max="14" width="9.25" style="57" customWidth="1"/>
    <col min="15" max="15" width="11.125" style="57" customWidth="1"/>
    <col min="16" max="16" width="12.5" customWidth="1"/>
    <col min="17" max="20" width="2.625" style="57" customWidth="1"/>
    <col min="21" max="21" width="2.625" customWidth="1"/>
    <col min="22" max="67" width="2.625" style="57" customWidth="1"/>
    <col min="68" max="68" width="14.375" style="57" customWidth="1"/>
    <col min="69" max="69" width="13.25" style="57" customWidth="1"/>
    <col min="70" max="70" width="12.75" style="57" customWidth="1"/>
    <col min="71" max="71" width="11.75" style="57" customWidth="1"/>
    <col min="72" max="72" width="12.25" style="57" customWidth="1"/>
    <col min="73" max="73" width="8.375" style="57" customWidth="1"/>
    <col min="74" max="74" width="14.375" style="57" customWidth="1"/>
    <col min="75" max="75" width="9.125" style="57" customWidth="1"/>
    <col min="76" max="76" width="8.5" style="57" customWidth="1"/>
    <col min="77" max="77" width="9.25" style="57" customWidth="1"/>
    <col min="78" max="78" width="11.125" style="57" customWidth="1"/>
    <col min="79" max="79" width="12.5" customWidth="1"/>
    <col min="80" max="83" width="2.625" style="57" customWidth="1"/>
    <col min="84" max="118" width="0" hidden="1" customWidth="1"/>
    <col min="119" max="16384" width="8.75" hidden="1"/>
  </cols>
  <sheetData>
    <row r="1" spans="1:83" s="52" customFormat="1" ht="16.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/>
      <c r="V1" s="56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</row>
    <row r="2" spans="1:83" s="52" customFormat="1" ht="16.5">
      <c r="A2" s="44"/>
      <c r="B2" s="55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/>
      <c r="Q2" s="57"/>
      <c r="R2" s="57"/>
      <c r="S2" s="57"/>
      <c r="T2" s="44"/>
      <c r="U2"/>
      <c r="V2" s="56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44"/>
      <c r="BM2" s="55" t="s">
        <v>146</v>
      </c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/>
      <c r="CB2" s="57"/>
      <c r="CC2" s="57"/>
      <c r="CD2" s="57"/>
      <c r="CE2" s="44"/>
    </row>
    <row r="3" spans="1:83" s="52" customFormat="1" ht="16.5" customHeight="1">
      <c r="A3" s="44"/>
      <c r="B3" s="57"/>
      <c r="C3" s="69" t="s">
        <v>243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45"/>
      <c r="Q3" s="59"/>
      <c r="R3" s="59"/>
      <c r="S3" s="57"/>
      <c r="T3" s="44"/>
      <c r="U3" s="50"/>
      <c r="V3" s="58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44"/>
      <c r="BM3" s="57"/>
      <c r="BN3" s="69" t="s">
        <v>243</v>
      </c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45"/>
      <c r="CB3" s="59"/>
      <c r="CC3" s="59"/>
      <c r="CD3" s="57"/>
      <c r="CE3" s="44"/>
    </row>
    <row r="4" spans="1:83" s="52" customFormat="1" ht="16.899999999999999" customHeight="1">
      <c r="A4" s="44"/>
      <c r="B4" s="57"/>
      <c r="C4" s="61" t="s">
        <v>148</v>
      </c>
      <c r="D4" s="62" t="s">
        <v>244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46"/>
      <c r="Q4" s="62"/>
      <c r="R4" s="62"/>
      <c r="S4" s="57"/>
      <c r="T4" s="44"/>
      <c r="U4" s="171"/>
      <c r="V4" s="6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44"/>
      <c r="BM4" s="57"/>
      <c r="BN4" s="202" t="s">
        <v>148</v>
      </c>
      <c r="BO4" s="62" t="s">
        <v>244</v>
      </c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46"/>
      <c r="CB4" s="62"/>
      <c r="CC4" s="62"/>
      <c r="CD4" s="57"/>
      <c r="CE4" s="44"/>
    </row>
    <row r="5" spans="1:83" s="52" customFormat="1" ht="16.899999999999999" customHeight="1">
      <c r="A5" s="44"/>
      <c r="B5" s="61"/>
      <c r="C5" s="71" t="s">
        <v>148</v>
      </c>
      <c r="D5" s="63" t="s">
        <v>245</v>
      </c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47"/>
      <c r="Q5" s="63"/>
      <c r="R5" s="57"/>
      <c r="S5" s="57"/>
      <c r="T5" s="44"/>
      <c r="U5" s="171"/>
      <c r="V5" s="6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44"/>
      <c r="BM5" s="61"/>
      <c r="BN5" s="199" t="s">
        <v>148</v>
      </c>
      <c r="BO5" s="63" t="s">
        <v>245</v>
      </c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47"/>
      <c r="CB5" s="63"/>
      <c r="CC5" s="57"/>
      <c r="CD5" s="57"/>
      <c r="CE5" s="44"/>
    </row>
    <row r="6" spans="1:83" s="52" customFormat="1" ht="16.899999999999999" customHeight="1">
      <c r="A6" s="44"/>
      <c r="B6" s="61"/>
      <c r="C6" s="63"/>
      <c r="D6" s="70" t="s">
        <v>246</v>
      </c>
      <c r="E6" s="70"/>
      <c r="F6" s="63"/>
      <c r="G6" s="63"/>
      <c r="H6" s="63"/>
      <c r="I6" s="63"/>
      <c r="J6" s="63"/>
      <c r="K6" s="63"/>
      <c r="L6" s="63"/>
      <c r="M6" s="63"/>
      <c r="N6" s="63"/>
      <c r="O6" s="63"/>
      <c r="P6" s="47"/>
      <c r="Q6" s="63"/>
      <c r="R6" s="57"/>
      <c r="S6" s="57"/>
      <c r="T6" s="44"/>
      <c r="U6" s="171"/>
      <c r="V6" s="6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44"/>
      <c r="BM6" s="61"/>
      <c r="BN6" s="70"/>
      <c r="BO6" s="70" t="s">
        <v>246</v>
      </c>
      <c r="BP6" s="70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47"/>
      <c r="CB6" s="63"/>
      <c r="CC6" s="57"/>
      <c r="CD6" s="57"/>
      <c r="CE6" s="44"/>
    </row>
    <row r="7" spans="1:83" s="52" customFormat="1" ht="16.899999999999999" customHeight="1">
      <c r="A7" s="44"/>
      <c r="B7" s="61"/>
      <c r="C7" s="71" t="s">
        <v>148</v>
      </c>
      <c r="D7" s="63" t="s">
        <v>247</v>
      </c>
      <c r="E7" s="70"/>
      <c r="F7" s="63"/>
      <c r="G7" s="63"/>
      <c r="H7" s="63"/>
      <c r="I7" s="63"/>
      <c r="J7" s="63"/>
      <c r="K7" s="63"/>
      <c r="L7" s="63"/>
      <c r="M7" s="63"/>
      <c r="N7" s="63"/>
      <c r="O7" s="63"/>
      <c r="P7" s="47"/>
      <c r="Q7" s="63"/>
      <c r="R7" s="57"/>
      <c r="S7" s="57"/>
      <c r="T7" s="44"/>
      <c r="U7" s="171"/>
      <c r="V7" s="6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44"/>
      <c r="BM7" s="61"/>
      <c r="BN7" s="199" t="s">
        <v>148</v>
      </c>
      <c r="BO7" s="63" t="s">
        <v>247</v>
      </c>
      <c r="BP7" s="70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47"/>
      <c r="CB7" s="63"/>
      <c r="CC7" s="57"/>
      <c r="CD7" s="57"/>
      <c r="CE7" s="44"/>
    </row>
    <row r="8" spans="1:83" s="52" customFormat="1" ht="16.899999999999999" customHeight="1">
      <c r="A8" s="44"/>
      <c r="B8" s="61"/>
      <c r="C8" s="71" t="s">
        <v>148</v>
      </c>
      <c r="D8" s="63" t="s">
        <v>171</v>
      </c>
      <c r="E8" s="70"/>
      <c r="F8" s="63"/>
      <c r="G8" s="63"/>
      <c r="H8" s="63"/>
      <c r="I8" s="63"/>
      <c r="J8" s="63"/>
      <c r="K8" s="63"/>
      <c r="L8" s="63"/>
      <c r="M8" s="63"/>
      <c r="N8" s="63"/>
      <c r="O8" s="63"/>
      <c r="P8" s="47"/>
      <c r="Q8" s="63"/>
      <c r="R8" s="57"/>
      <c r="S8" s="57"/>
      <c r="T8" s="44"/>
      <c r="U8" s="171"/>
      <c r="V8" s="6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44"/>
      <c r="BM8" s="61"/>
      <c r="BN8" s="199" t="s">
        <v>148</v>
      </c>
      <c r="BO8" s="63" t="s">
        <v>171</v>
      </c>
      <c r="BP8" s="70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47"/>
      <c r="CB8" s="63"/>
      <c r="CC8" s="57"/>
      <c r="CD8" s="57"/>
      <c r="CE8" s="44"/>
    </row>
    <row r="9" spans="1:83" s="52" customFormat="1" ht="4.1500000000000004" customHeight="1">
      <c r="A9" s="44"/>
      <c r="B9" s="61"/>
      <c r="C9" s="71"/>
      <c r="D9" s="63"/>
      <c r="E9" s="70"/>
      <c r="F9" s="63"/>
      <c r="G9" s="63"/>
      <c r="H9" s="63"/>
      <c r="I9" s="63"/>
      <c r="J9" s="63"/>
      <c r="K9" s="63"/>
      <c r="L9" s="63"/>
      <c r="M9" s="63"/>
      <c r="N9" s="63"/>
      <c r="O9" s="63"/>
      <c r="P9" s="47"/>
      <c r="Q9" s="63"/>
      <c r="R9" s="57"/>
      <c r="S9" s="57"/>
      <c r="T9" s="44"/>
      <c r="U9" s="171"/>
      <c r="V9" s="6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44"/>
      <c r="BM9" s="61"/>
      <c r="BN9" s="71"/>
      <c r="BO9" s="63"/>
      <c r="BP9" s="70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47"/>
      <c r="CB9" s="63"/>
      <c r="CC9" s="57"/>
      <c r="CD9" s="57"/>
      <c r="CE9" s="44"/>
    </row>
    <row r="10" spans="1:83" s="52" customFormat="1" ht="17.649999999999999" customHeight="1">
      <c r="A10" s="44"/>
      <c r="B10" s="57"/>
      <c r="C10" s="48" t="s">
        <v>172</v>
      </c>
      <c r="D10" s="329" t="s">
        <v>248</v>
      </c>
      <c r="E10" s="329"/>
      <c r="F10" s="329"/>
      <c r="G10" s="49"/>
      <c r="H10" s="49"/>
      <c r="I10" s="49"/>
      <c r="J10" s="4"/>
      <c r="K10" s="4"/>
      <c r="L10" s="4"/>
      <c r="M10" s="4"/>
      <c r="N10" s="4"/>
      <c r="O10" s="4"/>
      <c r="P10" s="4"/>
      <c r="Q10" s="57"/>
      <c r="R10" s="57"/>
      <c r="S10" s="57"/>
      <c r="T10" s="44"/>
      <c r="U10"/>
      <c r="V10" s="56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44"/>
      <c r="BM10" s="57"/>
      <c r="BN10" s="48" t="s">
        <v>172</v>
      </c>
      <c r="BO10" s="329" t="s">
        <v>248</v>
      </c>
      <c r="BP10" s="329"/>
      <c r="BQ10" s="329"/>
      <c r="BR10" s="49"/>
      <c r="BS10" s="49"/>
      <c r="BT10" s="49"/>
      <c r="BU10" s="4"/>
      <c r="BV10" s="4"/>
      <c r="BW10" s="4"/>
      <c r="BX10" s="4"/>
      <c r="BY10" s="4"/>
      <c r="BZ10" s="4"/>
      <c r="CA10" s="4"/>
      <c r="CB10" s="57"/>
      <c r="CC10" s="57"/>
      <c r="CD10" s="57"/>
      <c r="CE10" s="44"/>
    </row>
    <row r="11" spans="1:83" s="52" customFormat="1" ht="16.5">
      <c r="A11" s="44"/>
      <c r="B11" s="57"/>
      <c r="C11"/>
      <c r="D11"/>
      <c r="E11" s="184" t="s">
        <v>174</v>
      </c>
      <c r="F11" s="185" t="s">
        <v>175</v>
      </c>
      <c r="G11" s="185" t="s">
        <v>96</v>
      </c>
      <c r="H11" s="185" t="s">
        <v>176</v>
      </c>
      <c r="I11" s="185" t="s">
        <v>249</v>
      </c>
      <c r="J11" s="186" t="s">
        <v>97</v>
      </c>
      <c r="K11" s="306" t="s">
        <v>182</v>
      </c>
      <c r="L11" s="279"/>
      <c r="M11" s="279"/>
      <c r="N11" s="279"/>
      <c r="O11" s="279"/>
      <c r="P11" s="280"/>
      <c r="Q11" s="57"/>
      <c r="R11" s="57"/>
      <c r="S11" s="57"/>
      <c r="T11" s="44"/>
      <c r="U11"/>
      <c r="V11" s="56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44"/>
      <c r="BM11" s="57"/>
      <c r="BN11"/>
      <c r="BO11"/>
      <c r="BP11" s="184" t="s">
        <v>174</v>
      </c>
      <c r="BQ11" s="185" t="s">
        <v>175</v>
      </c>
      <c r="BR11" s="185" t="s">
        <v>96</v>
      </c>
      <c r="BS11" s="185" t="s">
        <v>176</v>
      </c>
      <c r="BT11" s="185" t="s">
        <v>249</v>
      </c>
      <c r="BU11" s="186" t="s">
        <v>97</v>
      </c>
      <c r="BV11" s="306" t="s">
        <v>182</v>
      </c>
      <c r="BW11" s="279"/>
      <c r="BX11" s="279"/>
      <c r="BY11" s="279"/>
      <c r="BZ11" s="279"/>
      <c r="CA11" s="280"/>
      <c r="CB11" s="57"/>
      <c r="CC11" s="57"/>
      <c r="CD11" s="57"/>
      <c r="CE11" s="44"/>
    </row>
    <row r="12" spans="1:83" s="52" customFormat="1" ht="16.5">
      <c r="A12" s="44"/>
      <c r="B12" s="57"/>
      <c r="C12"/>
      <c r="D12"/>
      <c r="E12" s="172" t="s">
        <v>250</v>
      </c>
      <c r="F12" s="75" t="s">
        <v>141</v>
      </c>
      <c r="G12" s="212"/>
      <c r="H12" s="75" t="s">
        <v>98</v>
      </c>
      <c r="I12" s="213"/>
      <c r="J12" s="73"/>
      <c r="K12" s="431"/>
      <c r="L12" s="432"/>
      <c r="M12" s="432"/>
      <c r="N12" s="432"/>
      <c r="O12" s="432"/>
      <c r="P12" s="317"/>
      <c r="Q12" s="57"/>
      <c r="R12" s="57"/>
      <c r="S12" s="57"/>
      <c r="T12" s="44"/>
      <c r="U12"/>
      <c r="V12" s="56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44"/>
      <c r="BM12" s="57"/>
      <c r="BN12"/>
      <c r="BO12"/>
      <c r="BP12" s="72" t="s">
        <v>250</v>
      </c>
      <c r="BQ12" s="75" t="s">
        <v>251</v>
      </c>
      <c r="BR12" s="113">
        <v>5055000</v>
      </c>
      <c r="BS12" s="75" t="s">
        <v>190</v>
      </c>
      <c r="BT12" s="75">
        <v>10000</v>
      </c>
      <c r="BU12" s="73" t="s">
        <v>252</v>
      </c>
      <c r="BV12" s="431"/>
      <c r="BW12" s="432"/>
      <c r="BX12" s="432"/>
      <c r="BY12" s="432"/>
      <c r="BZ12" s="432"/>
      <c r="CA12" s="317"/>
      <c r="CB12" s="57"/>
      <c r="CC12" s="57"/>
      <c r="CD12" s="57"/>
      <c r="CE12" s="44"/>
    </row>
    <row r="13" spans="1:83" s="52" customFormat="1" ht="16.5">
      <c r="A13" s="44"/>
      <c r="B13" s="57"/>
      <c r="C13"/>
      <c r="D13"/>
      <c r="E13" s="172" t="s">
        <v>253</v>
      </c>
      <c r="F13" s="75"/>
      <c r="G13" s="75"/>
      <c r="H13" s="75"/>
      <c r="I13" s="75"/>
      <c r="J13" s="75"/>
      <c r="K13" s="425"/>
      <c r="L13" s="426"/>
      <c r="M13" s="426"/>
      <c r="N13" s="426"/>
      <c r="O13" s="426"/>
      <c r="P13" s="427"/>
      <c r="Q13" s="57"/>
      <c r="R13" s="57"/>
      <c r="S13" s="57"/>
      <c r="T13" s="44"/>
      <c r="U13"/>
      <c r="V13" s="56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44"/>
      <c r="BM13" s="57"/>
      <c r="BN13"/>
      <c r="BO13"/>
      <c r="BP13" s="72" t="s">
        <v>253</v>
      </c>
      <c r="BQ13" s="75" t="s">
        <v>254</v>
      </c>
      <c r="BR13" s="75">
        <v>5000</v>
      </c>
      <c r="BS13" s="75" t="s">
        <v>190</v>
      </c>
      <c r="BT13" s="75">
        <v>200</v>
      </c>
      <c r="BU13" s="75" t="s">
        <v>252</v>
      </c>
      <c r="BV13" s="425"/>
      <c r="BW13" s="426"/>
      <c r="BX13" s="426"/>
      <c r="BY13" s="426"/>
      <c r="BZ13" s="426"/>
      <c r="CA13" s="427"/>
      <c r="CB13" s="57"/>
      <c r="CC13" s="57"/>
      <c r="CD13" s="57"/>
      <c r="CE13" s="44"/>
    </row>
    <row r="14" spans="1:83" s="52" customFormat="1" ht="16.5">
      <c r="A14" s="44"/>
      <c r="B14" s="57"/>
      <c r="C14"/>
      <c r="D14"/>
      <c r="E14" s="77" t="s">
        <v>167</v>
      </c>
      <c r="F14" s="78" t="s">
        <v>167</v>
      </c>
      <c r="G14" s="78" t="s">
        <v>167</v>
      </c>
      <c r="H14" s="78" t="s">
        <v>167</v>
      </c>
      <c r="I14" s="78" t="s">
        <v>167</v>
      </c>
      <c r="J14" s="78" t="s">
        <v>167</v>
      </c>
      <c r="K14" s="428" t="s">
        <v>167</v>
      </c>
      <c r="L14" s="429"/>
      <c r="M14" s="429"/>
      <c r="N14" s="429"/>
      <c r="O14" s="429"/>
      <c r="P14" s="430"/>
      <c r="Q14" s="57"/>
      <c r="R14" s="57"/>
      <c r="S14" s="57"/>
      <c r="T14" s="44"/>
      <c r="U14"/>
      <c r="V14" s="56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44"/>
      <c r="BM14" s="57"/>
      <c r="BN14"/>
      <c r="BO14"/>
      <c r="BP14" s="77" t="s">
        <v>167</v>
      </c>
      <c r="BQ14" s="78" t="s">
        <v>167</v>
      </c>
      <c r="BR14" s="78" t="s">
        <v>167</v>
      </c>
      <c r="BS14" s="78" t="s">
        <v>167</v>
      </c>
      <c r="BT14" s="78" t="s">
        <v>167</v>
      </c>
      <c r="BU14" s="78" t="s">
        <v>167</v>
      </c>
      <c r="BV14" s="428" t="s">
        <v>167</v>
      </c>
      <c r="BW14" s="429"/>
      <c r="BX14" s="429"/>
      <c r="BY14" s="429"/>
      <c r="BZ14" s="429"/>
      <c r="CA14" s="430"/>
      <c r="CB14" s="57"/>
      <c r="CC14" s="57"/>
      <c r="CD14" s="57"/>
      <c r="CE14" s="44"/>
    </row>
    <row r="15" spans="1:83" s="52" customFormat="1" ht="4.9000000000000004" customHeight="1">
      <c r="A15" s="44"/>
      <c r="B15" s="57"/>
      <c r="C15"/>
      <c r="D15"/>
      <c r="E15" s="50"/>
      <c r="F15" s="50"/>
      <c r="G15" s="50"/>
      <c r="H15" s="50"/>
      <c r="I15" s="50"/>
      <c r="J15" s="4"/>
      <c r="K15" s="4"/>
      <c r="L15" s="4"/>
      <c r="M15" s="4"/>
      <c r="N15" s="4"/>
      <c r="O15" s="4"/>
      <c r="P15" s="4"/>
      <c r="Q15" s="57"/>
      <c r="R15" s="57"/>
      <c r="S15" s="57"/>
      <c r="T15" s="44"/>
      <c r="U15"/>
      <c r="V15" s="56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44"/>
      <c r="BM15" s="57"/>
      <c r="BN15"/>
      <c r="BO15"/>
      <c r="BP15" s="50"/>
      <c r="BQ15" s="50"/>
      <c r="BR15" s="50"/>
      <c r="BS15" s="50"/>
      <c r="BT15" s="50"/>
      <c r="BU15" s="4"/>
      <c r="BV15" s="4"/>
      <c r="BW15" s="4"/>
      <c r="BX15" s="4"/>
      <c r="BY15" s="4"/>
      <c r="BZ15" s="4"/>
      <c r="CA15" s="4"/>
      <c r="CB15" s="57"/>
      <c r="CC15" s="57"/>
      <c r="CD15" s="57"/>
      <c r="CE15" s="44"/>
    </row>
    <row r="16" spans="1:83" s="52" customFormat="1" ht="16.5">
      <c r="A16" s="44"/>
      <c r="B16" s="57"/>
      <c r="C16" s="48" t="s">
        <v>172</v>
      </c>
      <c r="D16" s="80" t="s">
        <v>255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50"/>
      <c r="Q16" s="57"/>
      <c r="R16" s="57"/>
      <c r="S16" s="57"/>
      <c r="T16" s="44"/>
      <c r="U16"/>
      <c r="V16" s="56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44"/>
      <c r="BM16" s="57"/>
      <c r="BN16" s="48" t="s">
        <v>172</v>
      </c>
      <c r="BO16" s="80" t="s">
        <v>255</v>
      </c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50"/>
      <c r="CB16" s="57"/>
      <c r="CC16" s="57"/>
      <c r="CD16" s="57"/>
      <c r="CE16" s="44"/>
    </row>
    <row r="17" spans="1:83" s="52" customFormat="1" ht="16.5">
      <c r="A17" s="44"/>
      <c r="B17" s="57"/>
      <c r="C17"/>
      <c r="D17"/>
      <c r="E17" s="184" t="s">
        <v>174</v>
      </c>
      <c r="F17" s="185" t="s">
        <v>175</v>
      </c>
      <c r="G17" s="185" t="s">
        <v>96</v>
      </c>
      <c r="H17" s="187" t="s">
        <v>209</v>
      </c>
      <c r="I17" s="276" t="s">
        <v>256</v>
      </c>
      <c r="J17" s="276"/>
      <c r="K17" s="276" t="s">
        <v>182</v>
      </c>
      <c r="L17" s="276"/>
      <c r="M17" s="276"/>
      <c r="N17" s="276"/>
      <c r="O17" s="306"/>
      <c r="P17" s="277"/>
      <c r="Q17" s="57"/>
      <c r="R17" s="57"/>
      <c r="S17" s="57"/>
      <c r="T17" s="44"/>
      <c r="U17"/>
      <c r="V17" s="56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44"/>
      <c r="BM17" s="57"/>
      <c r="BN17"/>
      <c r="BO17"/>
      <c r="BP17" s="184" t="s">
        <v>174</v>
      </c>
      <c r="BQ17" s="185" t="s">
        <v>175</v>
      </c>
      <c r="BR17" s="185" t="s">
        <v>96</v>
      </c>
      <c r="BS17" s="187" t="s">
        <v>209</v>
      </c>
      <c r="BT17" s="276" t="s">
        <v>256</v>
      </c>
      <c r="BU17" s="276"/>
      <c r="BV17" s="276" t="s">
        <v>182</v>
      </c>
      <c r="BW17" s="276"/>
      <c r="BX17" s="276"/>
      <c r="BY17" s="276"/>
      <c r="BZ17" s="306"/>
      <c r="CA17" s="277"/>
      <c r="CB17" s="57"/>
      <c r="CC17" s="57"/>
      <c r="CD17" s="57"/>
      <c r="CE17" s="44"/>
    </row>
    <row r="18" spans="1:83" s="52" customFormat="1" ht="16.5">
      <c r="A18" s="44"/>
      <c r="B18" s="57"/>
      <c r="C18"/>
      <c r="D18"/>
      <c r="E18" s="82" t="s">
        <v>257</v>
      </c>
      <c r="F18" s="91" t="s">
        <v>187</v>
      </c>
      <c r="G18" s="92"/>
      <c r="H18" s="91"/>
      <c r="I18" s="421"/>
      <c r="J18" s="422"/>
      <c r="K18" s="294"/>
      <c r="L18" s="295"/>
      <c r="M18" s="295"/>
      <c r="N18" s="295"/>
      <c r="O18" s="295"/>
      <c r="P18" s="296"/>
      <c r="Q18" s="57"/>
      <c r="R18" s="57"/>
      <c r="S18" s="57"/>
      <c r="T18" s="44"/>
      <c r="U18"/>
      <c r="V18" s="56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44"/>
      <c r="BM18" s="57"/>
      <c r="BN18"/>
      <c r="BO18"/>
      <c r="BP18" s="82" t="s">
        <v>257</v>
      </c>
      <c r="BQ18" s="87" t="s">
        <v>258</v>
      </c>
      <c r="BR18" s="88">
        <v>3000</v>
      </c>
      <c r="BS18" s="87" t="s">
        <v>190</v>
      </c>
      <c r="BT18" s="423" t="s">
        <v>259</v>
      </c>
      <c r="BU18" s="424"/>
      <c r="BV18" s="290"/>
      <c r="BW18" s="307"/>
      <c r="BX18" s="307"/>
      <c r="BY18" s="307"/>
      <c r="BZ18" s="307"/>
      <c r="CA18" s="308"/>
      <c r="CB18" s="57"/>
      <c r="CC18" s="57"/>
      <c r="CD18" s="57"/>
      <c r="CE18" s="44"/>
    </row>
    <row r="19" spans="1:83" s="52" customFormat="1" ht="16.5">
      <c r="A19" s="44"/>
      <c r="B19" s="57"/>
      <c r="C19"/>
      <c r="D19"/>
      <c r="E19" s="94" t="s">
        <v>257</v>
      </c>
      <c r="F19" s="239" t="s">
        <v>258</v>
      </c>
      <c r="G19" s="240"/>
      <c r="H19" s="239"/>
      <c r="I19" s="241"/>
      <c r="J19" s="242"/>
      <c r="K19" s="418"/>
      <c r="L19" s="419"/>
      <c r="M19" s="419"/>
      <c r="N19" s="419"/>
      <c r="O19" s="419"/>
      <c r="P19" s="420"/>
      <c r="Q19" s="57"/>
      <c r="R19" s="57"/>
      <c r="S19" s="57"/>
      <c r="T19" s="44"/>
      <c r="U19"/>
      <c r="V19" s="56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44"/>
      <c r="BM19" s="57"/>
      <c r="BN19"/>
      <c r="BO19"/>
      <c r="BP19" s="83" t="s">
        <v>257</v>
      </c>
      <c r="BQ19" s="91" t="s">
        <v>260</v>
      </c>
      <c r="BR19" s="92">
        <v>2000</v>
      </c>
      <c r="BS19" s="91" t="s">
        <v>190</v>
      </c>
      <c r="BT19" s="421" t="s">
        <v>259</v>
      </c>
      <c r="BU19" s="422"/>
      <c r="BV19" s="294"/>
      <c r="BW19" s="295"/>
      <c r="BX19" s="295"/>
      <c r="BY19" s="295"/>
      <c r="BZ19" s="295"/>
      <c r="CA19" s="296"/>
      <c r="CB19" s="57"/>
      <c r="CC19" s="57"/>
      <c r="CD19" s="57"/>
      <c r="CE19" s="44"/>
    </row>
    <row r="20" spans="1:83" s="52" customFormat="1" ht="16.5">
      <c r="A20" s="44"/>
      <c r="B20" s="57"/>
      <c r="C20"/>
      <c r="D20"/>
      <c r="E20" s="247" t="s">
        <v>257</v>
      </c>
      <c r="F20" s="239" t="s">
        <v>261</v>
      </c>
      <c r="G20" s="240"/>
      <c r="H20" s="239"/>
      <c r="I20" s="241"/>
      <c r="J20" s="242"/>
      <c r="K20" s="418"/>
      <c r="L20" s="419"/>
      <c r="M20" s="419"/>
      <c r="N20" s="419"/>
      <c r="O20" s="419"/>
      <c r="P20" s="420"/>
      <c r="Q20" s="57"/>
      <c r="R20" s="57"/>
      <c r="S20" s="57"/>
      <c r="T20" s="44"/>
      <c r="U20"/>
      <c r="V20" s="56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44"/>
      <c r="BM20" s="57"/>
      <c r="BN20"/>
      <c r="BO20"/>
      <c r="BP20" s="94"/>
      <c r="BQ20" s="239"/>
      <c r="BR20" s="240"/>
      <c r="BS20" s="239"/>
      <c r="BT20" s="241"/>
      <c r="BU20" s="242"/>
      <c r="BV20" s="243"/>
      <c r="BW20" s="244"/>
      <c r="BX20" s="244"/>
      <c r="BY20" s="244"/>
      <c r="BZ20" s="244"/>
      <c r="CA20" s="245"/>
      <c r="CB20" s="57"/>
      <c r="CC20" s="57"/>
      <c r="CD20" s="57"/>
      <c r="CE20" s="44"/>
    </row>
    <row r="21" spans="1:83" s="52" customFormat="1" ht="16.5">
      <c r="A21" s="44"/>
      <c r="B21" s="57"/>
      <c r="C21"/>
      <c r="D21"/>
      <c r="E21" s="246" t="s">
        <v>257</v>
      </c>
      <c r="F21" s="239" t="s">
        <v>262</v>
      </c>
      <c r="G21" s="240"/>
      <c r="H21" s="239"/>
      <c r="I21" s="241"/>
      <c r="J21" s="242"/>
      <c r="K21" s="418" t="s">
        <v>263</v>
      </c>
      <c r="L21" s="419"/>
      <c r="M21" s="419"/>
      <c r="N21" s="419"/>
      <c r="O21" s="419"/>
      <c r="P21" s="420"/>
      <c r="Q21" s="57"/>
      <c r="R21" s="57"/>
      <c r="S21" s="57"/>
      <c r="T21" s="44"/>
      <c r="U21"/>
      <c r="V21" s="56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44"/>
      <c r="BM21" s="57"/>
      <c r="BN21"/>
      <c r="BO21"/>
      <c r="BP21" s="94"/>
      <c r="BQ21" s="239"/>
      <c r="BR21" s="240"/>
      <c r="BS21" s="239"/>
      <c r="BT21" s="241"/>
      <c r="BU21" s="242"/>
      <c r="BV21" s="243"/>
      <c r="BW21" s="244"/>
      <c r="BX21" s="244"/>
      <c r="BY21" s="244"/>
      <c r="BZ21" s="244"/>
      <c r="CA21" s="245"/>
      <c r="CB21" s="57"/>
      <c r="CC21" s="57"/>
      <c r="CD21" s="57"/>
      <c r="CE21" s="44"/>
    </row>
    <row r="22" spans="1:83" s="52" customFormat="1" ht="16.5">
      <c r="A22" s="44"/>
      <c r="B22" s="57"/>
      <c r="C22"/>
      <c r="D22"/>
      <c r="E22" s="228" t="s">
        <v>257</v>
      </c>
      <c r="F22" s="239"/>
      <c r="G22" s="240"/>
      <c r="H22" s="239"/>
      <c r="I22" s="241"/>
      <c r="J22" s="242"/>
      <c r="K22" s="418"/>
      <c r="L22" s="419"/>
      <c r="M22" s="419"/>
      <c r="N22" s="419"/>
      <c r="O22" s="419"/>
      <c r="P22" s="420"/>
      <c r="Q22" s="57"/>
      <c r="R22" s="57"/>
      <c r="S22" s="57"/>
      <c r="T22" s="44"/>
      <c r="U22"/>
      <c r="V22" s="56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44"/>
      <c r="BM22" s="57"/>
      <c r="BN22"/>
      <c r="BO22"/>
      <c r="BP22" s="94"/>
      <c r="BQ22" s="239"/>
      <c r="BR22" s="240"/>
      <c r="BS22" s="239"/>
      <c r="BT22" s="241"/>
      <c r="BU22" s="242"/>
      <c r="BV22" s="243"/>
      <c r="BW22" s="244"/>
      <c r="BX22" s="244"/>
      <c r="BY22" s="244"/>
      <c r="BZ22" s="244"/>
      <c r="CA22" s="245"/>
      <c r="CB22" s="57"/>
      <c r="CC22" s="57"/>
      <c r="CD22" s="57"/>
      <c r="CE22" s="44"/>
    </row>
    <row r="23" spans="1:83" s="52" customFormat="1" ht="16.5">
      <c r="A23" s="44"/>
      <c r="B23" s="57"/>
      <c r="C23"/>
      <c r="D23"/>
      <c r="E23" s="83" t="s">
        <v>257</v>
      </c>
      <c r="F23" s="239"/>
      <c r="G23" s="240"/>
      <c r="H23" s="239"/>
      <c r="I23" s="241"/>
      <c r="J23" s="242"/>
      <c r="K23" s="418"/>
      <c r="L23" s="419"/>
      <c r="M23" s="419"/>
      <c r="N23" s="419"/>
      <c r="O23" s="419"/>
      <c r="P23" s="420"/>
      <c r="Q23" s="57"/>
      <c r="R23" s="57"/>
      <c r="S23" s="57"/>
      <c r="T23" s="44"/>
      <c r="U23"/>
      <c r="V23" s="56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44"/>
      <c r="BM23" s="57"/>
      <c r="BN23"/>
      <c r="BO23"/>
      <c r="BP23" s="94"/>
      <c r="BQ23" s="239"/>
      <c r="BR23" s="240"/>
      <c r="BS23" s="239"/>
      <c r="BT23" s="241"/>
      <c r="BU23" s="242"/>
      <c r="BV23" s="243"/>
      <c r="BW23" s="244"/>
      <c r="BX23" s="244"/>
      <c r="BY23" s="244"/>
      <c r="BZ23" s="244"/>
      <c r="CA23" s="245"/>
      <c r="CB23" s="57"/>
      <c r="CC23" s="57"/>
      <c r="CD23" s="57"/>
      <c r="CE23" s="44"/>
    </row>
    <row r="24" spans="1:83" s="52" customFormat="1" ht="16.5">
      <c r="A24" s="44"/>
      <c r="B24" s="57"/>
      <c r="C24"/>
      <c r="D24"/>
      <c r="E24" s="102" t="s">
        <v>167</v>
      </c>
      <c r="F24" s="84" t="s">
        <v>167</v>
      </c>
      <c r="G24" s="84" t="s">
        <v>167</v>
      </c>
      <c r="H24" s="84" t="s">
        <v>167</v>
      </c>
      <c r="I24" s="410" t="s">
        <v>220</v>
      </c>
      <c r="J24" s="411"/>
      <c r="K24" s="292" t="s">
        <v>167</v>
      </c>
      <c r="L24" s="412"/>
      <c r="M24" s="412"/>
      <c r="N24" s="412"/>
      <c r="O24" s="412"/>
      <c r="P24" s="413"/>
      <c r="Q24" s="57"/>
      <c r="R24" s="57"/>
      <c r="S24" s="57"/>
      <c r="T24" s="44"/>
      <c r="U24"/>
      <c r="V24" s="56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44"/>
      <c r="BM24" s="57"/>
      <c r="BN24"/>
      <c r="BO24"/>
      <c r="BP24" s="102" t="s">
        <v>167</v>
      </c>
      <c r="BQ24" s="84" t="s">
        <v>167</v>
      </c>
      <c r="BR24" s="84" t="s">
        <v>167</v>
      </c>
      <c r="BS24" s="84" t="s">
        <v>167</v>
      </c>
      <c r="BT24" s="410" t="s">
        <v>220</v>
      </c>
      <c r="BU24" s="411"/>
      <c r="BV24" s="292" t="s">
        <v>167</v>
      </c>
      <c r="BW24" s="412"/>
      <c r="BX24" s="412"/>
      <c r="BY24" s="412"/>
      <c r="BZ24" s="412"/>
      <c r="CA24" s="413"/>
      <c r="CB24" s="57"/>
      <c r="CC24" s="57"/>
      <c r="CD24" s="57"/>
      <c r="CE24" s="44"/>
    </row>
    <row r="25" spans="1:83" s="52" customFormat="1" ht="4.9000000000000004" customHeight="1">
      <c r="A25" s="44"/>
      <c r="B25" s="57"/>
      <c r="C25"/>
      <c r="D25"/>
      <c r="E25" s="50"/>
      <c r="F25" s="50"/>
      <c r="G25" s="50"/>
      <c r="H25" s="50"/>
      <c r="I25" s="50"/>
      <c r="J25" s="4"/>
      <c r="K25" s="4"/>
      <c r="L25" s="4"/>
      <c r="M25" s="4"/>
      <c r="N25" s="4"/>
      <c r="O25" s="4"/>
      <c r="P25" s="4"/>
      <c r="Q25" s="57"/>
      <c r="R25" s="57"/>
      <c r="S25" s="57"/>
      <c r="T25" s="44"/>
      <c r="U25"/>
      <c r="V25" s="56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44"/>
      <c r="BM25" s="57"/>
      <c r="BN25"/>
      <c r="BO25"/>
      <c r="BP25" s="50"/>
      <c r="BQ25" s="50"/>
      <c r="BR25" s="50"/>
      <c r="BS25" s="50"/>
      <c r="BT25" s="50"/>
      <c r="BU25" s="4"/>
      <c r="BV25" s="4"/>
      <c r="BW25" s="4"/>
      <c r="BX25" s="4"/>
      <c r="BY25" s="4"/>
      <c r="BZ25" s="4"/>
      <c r="CA25" s="4"/>
      <c r="CB25" s="57"/>
      <c r="CC25" s="57"/>
      <c r="CD25" s="57"/>
      <c r="CE25" s="44"/>
    </row>
    <row r="26" spans="1:83" s="52" customFormat="1" ht="16.5">
      <c r="A26" s="44"/>
      <c r="B26" s="57"/>
      <c r="C26" s="48" t="s">
        <v>172</v>
      </c>
      <c r="D26" s="80" t="s">
        <v>264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0"/>
      <c r="Q26" s="57"/>
      <c r="R26" s="57"/>
      <c r="S26" s="57"/>
      <c r="T26" s="44"/>
      <c r="U26"/>
      <c r="V26" s="56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44"/>
      <c r="BM26" s="57"/>
      <c r="BN26" s="48" t="s">
        <v>172</v>
      </c>
      <c r="BO26" s="80" t="s">
        <v>264</v>
      </c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50"/>
      <c r="CB26" s="57"/>
      <c r="CC26" s="57"/>
      <c r="CD26" s="57"/>
      <c r="CE26" s="44"/>
    </row>
    <row r="27" spans="1:83" s="52" customFormat="1" ht="16.5">
      <c r="A27" s="44"/>
      <c r="B27" s="57"/>
      <c r="C27" s="48"/>
      <c r="D27" s="80"/>
      <c r="E27" s="414" t="s">
        <v>265</v>
      </c>
      <c r="F27" s="415"/>
      <c r="G27" s="119"/>
      <c r="H27" s="120"/>
      <c r="I27" s="120"/>
      <c r="J27" s="120"/>
      <c r="K27" s="120"/>
      <c r="L27" s="120"/>
      <c r="M27" s="120"/>
      <c r="N27" s="120"/>
      <c r="O27" s="120"/>
      <c r="P27" s="121"/>
      <c r="Q27" s="57"/>
      <c r="R27" s="57"/>
      <c r="S27" s="57"/>
      <c r="T27" s="44"/>
      <c r="U27"/>
      <c r="V27" s="56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44"/>
      <c r="BM27" s="57"/>
      <c r="BN27" s="48"/>
      <c r="BO27" s="80"/>
      <c r="BP27" s="414" t="s">
        <v>265</v>
      </c>
      <c r="BQ27" s="415"/>
      <c r="BR27" s="119"/>
      <c r="BS27" s="120"/>
      <c r="BT27" s="120"/>
      <c r="BU27" s="120"/>
      <c r="BV27" s="120"/>
      <c r="BW27" s="120"/>
      <c r="BX27" s="120"/>
      <c r="BY27" s="120"/>
      <c r="BZ27" s="120"/>
      <c r="CA27" s="121"/>
      <c r="CB27" s="57"/>
      <c r="CC27" s="57"/>
      <c r="CD27" s="57"/>
      <c r="CE27" s="44"/>
    </row>
    <row r="28" spans="1:83" s="52" customFormat="1" ht="16.5">
      <c r="A28" s="44"/>
      <c r="B28" s="57"/>
      <c r="C28" s="48"/>
      <c r="D28" s="80"/>
      <c r="E28" s="416" t="s">
        <v>167</v>
      </c>
      <c r="F28" s="417"/>
      <c r="G28" s="116"/>
      <c r="H28" s="117"/>
      <c r="I28" s="117"/>
      <c r="J28" s="117"/>
      <c r="K28" s="117"/>
      <c r="L28" s="117"/>
      <c r="M28" s="117"/>
      <c r="N28" s="117"/>
      <c r="O28" s="117"/>
      <c r="P28" s="118"/>
      <c r="Q28" s="57"/>
      <c r="R28" s="57"/>
      <c r="S28" s="57"/>
      <c r="T28" s="44"/>
      <c r="U28"/>
      <c r="V28" s="56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44"/>
      <c r="BM28" s="57"/>
      <c r="BN28" s="48"/>
      <c r="BO28" s="80"/>
      <c r="BP28" s="416" t="s">
        <v>233</v>
      </c>
      <c r="BQ28" s="417"/>
      <c r="BR28" s="116"/>
      <c r="BS28" s="117"/>
      <c r="BT28" s="117"/>
      <c r="BU28" s="117"/>
      <c r="BV28" s="117"/>
      <c r="BW28" s="117"/>
      <c r="BX28" s="117"/>
      <c r="BY28" s="117"/>
      <c r="BZ28" s="117"/>
      <c r="CA28" s="118"/>
      <c r="CB28" s="57"/>
      <c r="CC28" s="57"/>
      <c r="CD28" s="57"/>
      <c r="CE28" s="44"/>
    </row>
    <row r="29" spans="1:83" s="52" customFormat="1" ht="16.5">
      <c r="A29" s="44"/>
      <c r="B29" s="57"/>
      <c r="C29" s="48"/>
      <c r="D29" s="80"/>
      <c r="E29" s="184" t="s">
        <v>174</v>
      </c>
      <c r="F29" s="185" t="s">
        <v>175</v>
      </c>
      <c r="G29" s="185" t="s">
        <v>96</v>
      </c>
      <c r="H29" s="185" t="s">
        <v>209</v>
      </c>
      <c r="I29" s="276" t="s">
        <v>266</v>
      </c>
      <c r="J29" s="276"/>
      <c r="K29" s="185" t="s">
        <v>267</v>
      </c>
      <c r="L29" s="276" t="s">
        <v>182</v>
      </c>
      <c r="M29" s="276"/>
      <c r="N29" s="276"/>
      <c r="O29" s="276"/>
      <c r="P29" s="277"/>
      <c r="Q29" s="57"/>
      <c r="R29" s="57"/>
      <c r="S29" s="57"/>
      <c r="T29" s="44"/>
      <c r="U29"/>
      <c r="V29" s="56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44"/>
      <c r="BM29" s="57"/>
      <c r="BN29" s="48"/>
      <c r="BO29" s="80"/>
      <c r="BP29" s="184" t="s">
        <v>174</v>
      </c>
      <c r="BQ29" s="185" t="s">
        <v>175</v>
      </c>
      <c r="BR29" s="185" t="s">
        <v>96</v>
      </c>
      <c r="BS29" s="185" t="s">
        <v>209</v>
      </c>
      <c r="BT29" s="276" t="s">
        <v>266</v>
      </c>
      <c r="BU29" s="276"/>
      <c r="BV29" s="185" t="s">
        <v>267</v>
      </c>
      <c r="BW29" s="276" t="s">
        <v>182</v>
      </c>
      <c r="BX29" s="276"/>
      <c r="BY29" s="276"/>
      <c r="BZ29" s="276"/>
      <c r="CA29" s="277"/>
      <c r="CB29" s="57"/>
      <c r="CC29" s="57"/>
      <c r="CD29" s="57"/>
      <c r="CE29" s="44"/>
    </row>
    <row r="30" spans="1:83" s="52" customFormat="1" ht="16.5">
      <c r="A30" s="44"/>
      <c r="B30" s="57"/>
      <c r="C30" s="48"/>
      <c r="D30" s="80"/>
      <c r="E30" s="104" t="s">
        <v>268</v>
      </c>
      <c r="F30" s="107" t="s">
        <v>269</v>
      </c>
      <c r="G30" s="214"/>
      <c r="H30" s="215"/>
      <c r="I30" s="284"/>
      <c r="J30" s="398"/>
      <c r="K30" s="216"/>
      <c r="L30" s="404" t="s">
        <v>270</v>
      </c>
      <c r="M30" s="288"/>
      <c r="N30" s="288"/>
      <c r="O30" s="288"/>
      <c r="P30" s="289"/>
      <c r="Q30" s="57"/>
      <c r="R30" s="57"/>
      <c r="S30" s="57"/>
      <c r="T30" s="44"/>
      <c r="U30"/>
      <c r="V30" s="56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44"/>
      <c r="BM30" s="57"/>
      <c r="BN30" s="48"/>
      <c r="BO30" s="80"/>
      <c r="BP30" s="104" t="s">
        <v>268</v>
      </c>
      <c r="BQ30" s="107" t="s">
        <v>269</v>
      </c>
      <c r="BR30" s="124">
        <v>10000</v>
      </c>
      <c r="BS30" s="107" t="s">
        <v>190</v>
      </c>
      <c r="BT30" s="284" t="s">
        <v>271</v>
      </c>
      <c r="BU30" s="398"/>
      <c r="BV30" s="123" t="s">
        <v>272</v>
      </c>
      <c r="BW30" s="409"/>
      <c r="BX30" s="285"/>
      <c r="BY30" s="285"/>
      <c r="BZ30" s="285"/>
      <c r="CA30" s="286"/>
      <c r="CB30" s="57"/>
      <c r="CC30" s="57"/>
      <c r="CD30" s="57"/>
      <c r="CE30" s="44"/>
    </row>
    <row r="31" spans="1:83" s="52" customFormat="1" ht="16.5">
      <c r="A31" s="44"/>
      <c r="B31" s="57"/>
      <c r="C31" s="48"/>
      <c r="D31" s="80"/>
      <c r="E31" s="114" t="s">
        <v>268</v>
      </c>
      <c r="F31" s="107" t="s">
        <v>269</v>
      </c>
      <c r="G31" s="125"/>
      <c r="H31" s="115"/>
      <c r="I31" s="287"/>
      <c r="J31" s="403"/>
      <c r="K31" s="122"/>
      <c r="L31" s="404" t="s">
        <v>273</v>
      </c>
      <c r="M31" s="288"/>
      <c r="N31" s="288"/>
      <c r="O31" s="288"/>
      <c r="P31" s="289"/>
      <c r="Q31" s="57"/>
      <c r="R31" s="57"/>
      <c r="S31" s="57"/>
      <c r="T31" s="44"/>
      <c r="U31"/>
      <c r="V31" s="56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44"/>
      <c r="BM31" s="57"/>
      <c r="BN31" s="48"/>
      <c r="BO31" s="80"/>
      <c r="BP31" s="114" t="s">
        <v>268</v>
      </c>
      <c r="BQ31" s="115" t="s">
        <v>269</v>
      </c>
      <c r="BR31" s="125">
        <v>20000</v>
      </c>
      <c r="BS31" s="115" t="s">
        <v>190</v>
      </c>
      <c r="BT31" s="287" t="s">
        <v>274</v>
      </c>
      <c r="BU31" s="403"/>
      <c r="BV31" s="122" t="s">
        <v>272</v>
      </c>
      <c r="BW31" s="404"/>
      <c r="BX31" s="288"/>
      <c r="BY31" s="288"/>
      <c r="BZ31" s="288"/>
      <c r="CA31" s="289"/>
      <c r="CB31" s="57"/>
      <c r="CC31" s="57"/>
      <c r="CD31" s="57"/>
      <c r="CE31" s="44"/>
    </row>
    <row r="32" spans="1:83" s="52" customFormat="1" ht="16.5">
      <c r="A32" s="44"/>
      <c r="B32" s="57"/>
      <c r="C32" s="48"/>
      <c r="D32" s="80"/>
      <c r="E32" s="114" t="s">
        <v>268</v>
      </c>
      <c r="F32" s="115"/>
      <c r="G32" s="125"/>
      <c r="H32" s="115"/>
      <c r="I32" s="287"/>
      <c r="J32" s="403"/>
      <c r="K32" s="128"/>
      <c r="L32" s="404"/>
      <c r="M32" s="288"/>
      <c r="N32" s="288"/>
      <c r="O32" s="288"/>
      <c r="P32" s="289"/>
      <c r="Q32" s="57"/>
      <c r="R32" s="57"/>
      <c r="S32" s="57"/>
      <c r="T32" s="44"/>
      <c r="U32"/>
      <c r="V32" s="56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7"/>
      <c r="BJ32" s="57"/>
      <c r="BK32" s="57"/>
      <c r="BL32" s="44"/>
      <c r="BM32" s="57"/>
      <c r="BN32" s="48"/>
      <c r="BO32" s="80"/>
      <c r="BP32" s="114" t="s">
        <v>268</v>
      </c>
      <c r="BQ32" s="115" t="s">
        <v>275</v>
      </c>
      <c r="BR32" s="125">
        <v>10000</v>
      </c>
      <c r="BS32" s="115" t="s">
        <v>190</v>
      </c>
      <c r="BT32" s="287" t="s">
        <v>276</v>
      </c>
      <c r="BU32" s="403"/>
      <c r="BV32" s="128" t="s">
        <v>135</v>
      </c>
      <c r="BW32" s="404"/>
      <c r="BX32" s="288"/>
      <c r="BY32" s="288"/>
      <c r="BZ32" s="288"/>
      <c r="CA32" s="289"/>
      <c r="CB32" s="57"/>
      <c r="CC32" s="57"/>
      <c r="CD32" s="57"/>
      <c r="CE32" s="44"/>
    </row>
    <row r="33" spans="1:83" s="52" customFormat="1" ht="16.5">
      <c r="A33" s="44"/>
      <c r="B33" s="57"/>
      <c r="C33" s="48"/>
      <c r="D33" s="80"/>
      <c r="E33" s="105" t="s">
        <v>268</v>
      </c>
      <c r="F33" s="109"/>
      <c r="G33" s="126"/>
      <c r="H33" s="109"/>
      <c r="I33" s="287"/>
      <c r="J33" s="403"/>
      <c r="K33" s="128"/>
      <c r="L33" s="404"/>
      <c r="M33" s="288"/>
      <c r="N33" s="288"/>
      <c r="O33" s="288"/>
      <c r="P33" s="289"/>
      <c r="Q33" s="57"/>
      <c r="R33" s="57"/>
      <c r="S33" s="57"/>
      <c r="T33" s="44"/>
      <c r="U33"/>
      <c r="V33" s="56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44"/>
      <c r="BM33" s="57"/>
      <c r="BN33" s="48"/>
      <c r="BO33" s="80"/>
      <c r="BP33" s="105" t="s">
        <v>268</v>
      </c>
      <c r="BQ33" s="109" t="s">
        <v>277</v>
      </c>
      <c r="BR33" s="126">
        <v>10000</v>
      </c>
      <c r="BS33" s="109" t="s">
        <v>190</v>
      </c>
      <c r="BT33" s="287" t="s">
        <v>276</v>
      </c>
      <c r="BU33" s="403"/>
      <c r="BV33" s="128" t="s">
        <v>135</v>
      </c>
      <c r="BW33" s="404"/>
      <c r="BX33" s="288"/>
      <c r="BY33" s="288"/>
      <c r="BZ33" s="288"/>
      <c r="CA33" s="289"/>
      <c r="CB33" s="57"/>
      <c r="CC33" s="57"/>
      <c r="CD33" s="57"/>
      <c r="CE33" s="44"/>
    </row>
    <row r="34" spans="1:83" s="52" customFormat="1" ht="16.5">
      <c r="A34" s="44"/>
      <c r="B34" s="57"/>
      <c r="C34" s="48"/>
      <c r="D34" s="80"/>
      <c r="E34" s="111" t="s">
        <v>167</v>
      </c>
      <c r="F34" s="112" t="s">
        <v>167</v>
      </c>
      <c r="G34" s="112" t="s">
        <v>167</v>
      </c>
      <c r="H34" s="112" t="s">
        <v>167</v>
      </c>
      <c r="I34" s="273" t="s">
        <v>167</v>
      </c>
      <c r="J34" s="405"/>
      <c r="K34" s="127" t="s">
        <v>167</v>
      </c>
      <c r="L34" s="406" t="s">
        <v>167</v>
      </c>
      <c r="M34" s="407"/>
      <c r="N34" s="407"/>
      <c r="O34" s="407"/>
      <c r="P34" s="408"/>
      <c r="Q34" s="57"/>
      <c r="R34" s="57"/>
      <c r="S34" s="57"/>
      <c r="T34" s="44"/>
      <c r="U34"/>
      <c r="V34" s="56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44"/>
      <c r="BM34" s="57"/>
      <c r="BN34" s="48"/>
      <c r="BO34" s="80"/>
      <c r="BP34" s="111" t="s">
        <v>167</v>
      </c>
      <c r="BQ34" s="112" t="s">
        <v>167</v>
      </c>
      <c r="BR34" s="112" t="s">
        <v>167</v>
      </c>
      <c r="BS34" s="112" t="s">
        <v>167</v>
      </c>
      <c r="BT34" s="273" t="s">
        <v>167</v>
      </c>
      <c r="BU34" s="405"/>
      <c r="BV34" s="127" t="s">
        <v>167</v>
      </c>
      <c r="BW34" s="406" t="s">
        <v>167</v>
      </c>
      <c r="BX34" s="407"/>
      <c r="BY34" s="407"/>
      <c r="BZ34" s="407"/>
      <c r="CA34" s="408"/>
      <c r="CB34" s="57"/>
      <c r="CC34" s="57"/>
      <c r="CD34" s="57"/>
      <c r="CE34" s="44"/>
    </row>
    <row r="35" spans="1:83" s="52" customFormat="1" ht="4.1500000000000004" customHeight="1">
      <c r="A35" s="44"/>
      <c r="B35" s="57"/>
      <c r="C35" s="48"/>
      <c r="D35" s="8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0"/>
      <c r="Q35" s="57"/>
      <c r="R35" s="57"/>
      <c r="S35" s="57"/>
      <c r="T35" s="44"/>
      <c r="U35"/>
      <c r="V35" s="56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44"/>
      <c r="BM35" s="57"/>
      <c r="BN35" s="48"/>
      <c r="BO35" s="80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50"/>
      <c r="CB35" s="57"/>
      <c r="CC35" s="57"/>
      <c r="CD35" s="57"/>
      <c r="CE35" s="44"/>
    </row>
    <row r="36" spans="1:83" s="52" customFormat="1" ht="16.5">
      <c r="A36" s="44"/>
      <c r="B36" s="57"/>
      <c r="C36" s="48" t="s">
        <v>172</v>
      </c>
      <c r="D36" s="80" t="s">
        <v>278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0"/>
      <c r="Q36" s="57"/>
      <c r="R36" s="57"/>
      <c r="S36" s="57"/>
      <c r="T36" s="44"/>
      <c r="U36"/>
      <c r="V36" s="56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44"/>
      <c r="BM36" s="57"/>
      <c r="BN36" s="48" t="s">
        <v>172</v>
      </c>
      <c r="BO36" s="80" t="s">
        <v>278</v>
      </c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50"/>
      <c r="CB36" s="57"/>
      <c r="CC36" s="57"/>
      <c r="CD36" s="57"/>
      <c r="CE36" s="44"/>
    </row>
    <row r="37" spans="1:83" s="52" customFormat="1" ht="39.6" customHeight="1">
      <c r="A37" s="44"/>
      <c r="B37" s="57"/>
      <c r="C37" s="48"/>
      <c r="D37" s="80"/>
      <c r="E37" s="330" t="s">
        <v>174</v>
      </c>
      <c r="F37" s="318" t="s">
        <v>175</v>
      </c>
      <c r="G37" s="276" t="s">
        <v>96</v>
      </c>
      <c r="H37" s="276" t="s">
        <v>97</v>
      </c>
      <c r="I37" s="399" t="s">
        <v>279</v>
      </c>
      <c r="J37" s="399"/>
      <c r="K37" s="399" t="s">
        <v>280</v>
      </c>
      <c r="L37" s="276" t="s">
        <v>281</v>
      </c>
      <c r="M37" s="276"/>
      <c r="N37" s="276"/>
      <c r="O37" s="276"/>
      <c r="P37" s="277"/>
      <c r="Q37" s="57"/>
      <c r="R37" s="57"/>
      <c r="S37" s="57"/>
      <c r="T37" s="44"/>
      <c r="U37"/>
      <c r="V37" s="56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44"/>
      <c r="BM37" s="57"/>
      <c r="BN37" s="48"/>
      <c r="BO37" s="80"/>
      <c r="BP37" s="330" t="s">
        <v>174</v>
      </c>
      <c r="BQ37" s="318" t="s">
        <v>175</v>
      </c>
      <c r="BR37" s="276" t="s">
        <v>96</v>
      </c>
      <c r="BS37" s="276" t="s">
        <v>97</v>
      </c>
      <c r="BT37" s="399" t="s">
        <v>279</v>
      </c>
      <c r="BU37" s="399"/>
      <c r="BV37" s="399" t="s">
        <v>280</v>
      </c>
      <c r="BW37" s="276" t="s">
        <v>281</v>
      </c>
      <c r="BX37" s="276"/>
      <c r="BY37" s="276"/>
      <c r="BZ37" s="276"/>
      <c r="CA37" s="277"/>
      <c r="CB37" s="57"/>
      <c r="CC37" s="57"/>
      <c r="CD37" s="57"/>
      <c r="CE37" s="44"/>
    </row>
    <row r="38" spans="1:83" s="52" customFormat="1" ht="16.5">
      <c r="A38" s="44"/>
      <c r="B38" s="57"/>
      <c r="C38" s="48"/>
      <c r="D38" s="80"/>
      <c r="E38" s="331"/>
      <c r="F38" s="319"/>
      <c r="G38" s="301"/>
      <c r="H38" s="301"/>
      <c r="I38" s="300"/>
      <c r="J38" s="300"/>
      <c r="K38" s="300"/>
      <c r="L38" s="301" t="s">
        <v>282</v>
      </c>
      <c r="M38" s="301" t="s">
        <v>180</v>
      </c>
      <c r="N38" s="301"/>
      <c r="O38" s="400" t="s">
        <v>181</v>
      </c>
      <c r="P38" s="401" t="s">
        <v>182</v>
      </c>
      <c r="Q38" s="57"/>
      <c r="R38" s="57"/>
      <c r="S38" s="57"/>
      <c r="T38" s="44"/>
      <c r="U38"/>
      <c r="V38" s="56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44"/>
      <c r="BM38" s="57"/>
      <c r="BN38" s="48"/>
      <c r="BO38" s="80"/>
      <c r="BP38" s="331"/>
      <c r="BQ38" s="319"/>
      <c r="BR38" s="301"/>
      <c r="BS38" s="301"/>
      <c r="BT38" s="300"/>
      <c r="BU38" s="300"/>
      <c r="BV38" s="300"/>
      <c r="BW38" s="301" t="s">
        <v>282</v>
      </c>
      <c r="BX38" s="301" t="s">
        <v>180</v>
      </c>
      <c r="BY38" s="301"/>
      <c r="BZ38" s="400" t="s">
        <v>181</v>
      </c>
      <c r="CA38" s="401" t="s">
        <v>182</v>
      </c>
      <c r="CB38" s="57"/>
      <c r="CC38" s="57"/>
      <c r="CD38" s="57"/>
      <c r="CE38" s="44"/>
    </row>
    <row r="39" spans="1:83" s="52" customFormat="1" ht="16.5">
      <c r="A39" s="44"/>
      <c r="B39" s="57"/>
      <c r="C39" s="48"/>
      <c r="D39" s="80"/>
      <c r="E39" s="332"/>
      <c r="F39" s="320"/>
      <c r="G39" s="301"/>
      <c r="H39" s="301"/>
      <c r="I39" s="300"/>
      <c r="J39" s="300"/>
      <c r="K39" s="300"/>
      <c r="L39" s="301"/>
      <c r="M39" s="188" t="s">
        <v>183</v>
      </c>
      <c r="N39" s="188" t="s">
        <v>185</v>
      </c>
      <c r="O39" s="320"/>
      <c r="P39" s="402"/>
      <c r="Q39" s="57"/>
      <c r="R39" s="57"/>
      <c r="S39" s="57"/>
      <c r="T39" s="44"/>
      <c r="U39"/>
      <c r="V39" s="56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44"/>
      <c r="BM39" s="57"/>
      <c r="BN39" s="48"/>
      <c r="BO39" s="80"/>
      <c r="BP39" s="332"/>
      <c r="BQ39" s="320"/>
      <c r="BR39" s="301"/>
      <c r="BS39" s="301"/>
      <c r="BT39" s="300"/>
      <c r="BU39" s="300"/>
      <c r="BV39" s="300"/>
      <c r="BW39" s="301"/>
      <c r="BX39" s="188" t="s">
        <v>183</v>
      </c>
      <c r="BY39" s="188" t="s">
        <v>185</v>
      </c>
      <c r="BZ39" s="320"/>
      <c r="CA39" s="402"/>
      <c r="CB39" s="57"/>
      <c r="CC39" s="57"/>
      <c r="CD39" s="57"/>
      <c r="CE39" s="44"/>
    </row>
    <row r="40" spans="1:83" s="52" customFormat="1" ht="16.5">
      <c r="A40" s="44"/>
      <c r="B40" s="57"/>
      <c r="C40" s="48"/>
      <c r="D40" s="80"/>
      <c r="E40" s="104" t="s">
        <v>283</v>
      </c>
      <c r="F40" s="107" t="s">
        <v>284</v>
      </c>
      <c r="G40" s="214"/>
      <c r="H40" s="215"/>
      <c r="I40" s="281"/>
      <c r="J40" s="397"/>
      <c r="K40" s="216"/>
      <c r="L40" s="217"/>
      <c r="M40" s="218"/>
      <c r="N40" s="219"/>
      <c r="O40" s="219"/>
      <c r="P40" s="131"/>
      <c r="Q40" s="57"/>
      <c r="R40" s="57"/>
      <c r="S40" s="57"/>
      <c r="T40" s="44"/>
      <c r="U40"/>
      <c r="V40" s="56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44"/>
      <c r="BM40" s="57"/>
      <c r="BN40" s="48"/>
      <c r="BO40" s="80"/>
      <c r="BP40" s="104" t="s">
        <v>283</v>
      </c>
      <c r="BQ40" s="107" t="s">
        <v>285</v>
      </c>
      <c r="BR40" s="124">
        <v>10000</v>
      </c>
      <c r="BS40" s="107" t="s">
        <v>190</v>
      </c>
      <c r="BT40" s="284" t="s">
        <v>286</v>
      </c>
      <c r="BU40" s="398"/>
      <c r="BV40" s="123" t="s">
        <v>287</v>
      </c>
      <c r="BW40" s="132">
        <v>200000</v>
      </c>
      <c r="BX40" s="133" t="s">
        <v>135</v>
      </c>
      <c r="BY40" s="138" t="s">
        <v>194</v>
      </c>
      <c r="BZ40" s="138" t="s">
        <v>288</v>
      </c>
      <c r="CA40" s="131"/>
      <c r="CB40" s="57"/>
      <c r="CC40" s="57"/>
      <c r="CD40" s="57"/>
      <c r="CE40" s="44"/>
    </row>
    <row r="41" spans="1:83" s="52" customFormat="1" ht="16.5">
      <c r="A41" s="44"/>
      <c r="B41" s="57"/>
      <c r="C41" s="48"/>
      <c r="D41" s="80"/>
      <c r="E41" s="248" t="s">
        <v>333</v>
      </c>
      <c r="F41" s="136" t="s">
        <v>289</v>
      </c>
      <c r="G41" s="249"/>
      <c r="H41" s="250"/>
      <c r="I41" s="251"/>
      <c r="J41" s="252"/>
      <c r="K41" s="253"/>
      <c r="L41" s="254"/>
      <c r="M41" s="255"/>
      <c r="N41" s="256"/>
      <c r="O41" s="256"/>
      <c r="P41" s="257"/>
      <c r="Q41" s="57"/>
      <c r="R41" s="57"/>
      <c r="S41" s="57"/>
      <c r="T41" s="44"/>
      <c r="U41"/>
      <c r="V41" s="56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44"/>
      <c r="BM41" s="57"/>
      <c r="BN41" s="48"/>
      <c r="BO41" s="80"/>
      <c r="BP41" s="248"/>
      <c r="BQ41" s="136"/>
      <c r="BR41" s="258"/>
      <c r="BS41" s="136"/>
      <c r="BT41" s="259"/>
      <c r="BU41" s="260"/>
      <c r="BV41" s="261"/>
      <c r="BW41" s="262"/>
      <c r="BX41" s="263"/>
      <c r="BY41" s="99"/>
      <c r="BZ41" s="99"/>
      <c r="CA41" s="257"/>
      <c r="CB41" s="57"/>
      <c r="CC41" s="57"/>
      <c r="CD41" s="57"/>
      <c r="CE41" s="44"/>
    </row>
    <row r="42" spans="1:83" s="52" customFormat="1" ht="16.5">
      <c r="A42" s="44"/>
      <c r="B42" s="57"/>
      <c r="C42" s="48"/>
      <c r="D42" s="80"/>
      <c r="E42" s="248" t="s">
        <v>333</v>
      </c>
      <c r="F42" s="109" t="s">
        <v>290</v>
      </c>
      <c r="G42" s="264"/>
      <c r="H42" s="265"/>
      <c r="I42" s="266"/>
      <c r="J42" s="267"/>
      <c r="K42" s="268"/>
      <c r="L42" s="269"/>
      <c r="M42" s="270"/>
      <c r="N42" s="271"/>
      <c r="O42" s="271"/>
      <c r="P42" s="272"/>
      <c r="Q42" s="57"/>
      <c r="R42" s="57"/>
      <c r="S42" s="57"/>
      <c r="T42" s="44"/>
      <c r="U42"/>
      <c r="V42" s="56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44"/>
      <c r="BM42" s="57"/>
      <c r="BN42" s="48"/>
      <c r="BO42" s="80"/>
      <c r="BP42" s="248"/>
      <c r="BQ42" s="136"/>
      <c r="BR42" s="258"/>
      <c r="BS42" s="136"/>
      <c r="BT42" s="259"/>
      <c r="BU42" s="260"/>
      <c r="BV42" s="261"/>
      <c r="BW42" s="262"/>
      <c r="BX42" s="263"/>
      <c r="BY42" s="99"/>
      <c r="BZ42" s="99"/>
      <c r="CA42" s="257"/>
      <c r="CB42" s="57"/>
      <c r="CC42" s="57"/>
      <c r="CD42" s="57"/>
      <c r="CE42" s="44"/>
    </row>
    <row r="43" spans="1:83" s="52" customFormat="1" ht="16.5">
      <c r="A43" s="44"/>
      <c r="B43" s="57"/>
      <c r="C43" s="48"/>
      <c r="D43" s="80"/>
      <c r="E43" s="248"/>
      <c r="F43" s="136"/>
      <c r="G43" s="249"/>
      <c r="H43" s="250"/>
      <c r="I43" s="251"/>
      <c r="J43" s="252"/>
      <c r="K43" s="253"/>
      <c r="L43" s="254"/>
      <c r="M43" s="255"/>
      <c r="N43" s="256"/>
      <c r="O43" s="256"/>
      <c r="P43" s="257"/>
      <c r="Q43" s="57"/>
      <c r="R43" s="57"/>
      <c r="S43" s="57"/>
      <c r="T43" s="44"/>
      <c r="U43"/>
      <c r="V43" s="56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44"/>
      <c r="BM43" s="57"/>
      <c r="BN43" s="48"/>
      <c r="BO43" s="80"/>
      <c r="BP43" s="248"/>
      <c r="BQ43" s="136"/>
      <c r="BR43" s="258"/>
      <c r="BS43" s="136"/>
      <c r="BT43" s="259"/>
      <c r="BU43" s="260"/>
      <c r="BV43" s="261"/>
      <c r="BW43" s="262"/>
      <c r="BX43" s="263"/>
      <c r="BY43" s="99"/>
      <c r="BZ43" s="99"/>
      <c r="CA43" s="257"/>
      <c r="CB43" s="57"/>
      <c r="CC43" s="57"/>
      <c r="CD43" s="57"/>
      <c r="CE43" s="44"/>
    </row>
    <row r="44" spans="1:83" s="52" customFormat="1" ht="16.5">
      <c r="A44" s="44"/>
      <c r="B44" s="57"/>
      <c r="C44" s="48"/>
      <c r="D44" s="80"/>
      <c r="E44" s="105"/>
      <c r="F44" s="109"/>
      <c r="G44" s="264"/>
      <c r="H44" s="265"/>
      <c r="I44" s="266"/>
      <c r="J44" s="267"/>
      <c r="K44" s="268"/>
      <c r="L44" s="269"/>
      <c r="M44" s="270"/>
      <c r="N44" s="271"/>
      <c r="O44" s="271"/>
      <c r="P44" s="272"/>
      <c r="Q44" s="57"/>
      <c r="R44" s="57"/>
      <c r="S44" s="57"/>
      <c r="T44" s="44"/>
      <c r="U44"/>
      <c r="V44" s="56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44"/>
      <c r="BM44" s="57"/>
      <c r="BN44" s="48"/>
      <c r="BO44" s="80"/>
      <c r="BP44" s="248"/>
      <c r="BQ44" s="136"/>
      <c r="BR44" s="258"/>
      <c r="BS44" s="136"/>
      <c r="BT44" s="259"/>
      <c r="BU44" s="260"/>
      <c r="BV44" s="261"/>
      <c r="BW44" s="262"/>
      <c r="BX44" s="263"/>
      <c r="BY44" s="99"/>
      <c r="BZ44" s="99"/>
      <c r="CA44" s="257"/>
      <c r="CB44" s="57"/>
      <c r="CC44" s="57"/>
      <c r="CD44" s="57"/>
      <c r="CE44" s="44"/>
    </row>
    <row r="45" spans="1:83" s="52" customFormat="1" ht="16.5">
      <c r="A45" s="44"/>
      <c r="B45" s="57"/>
      <c r="C45" s="48"/>
      <c r="D45" s="80"/>
      <c r="E45" s="248"/>
      <c r="F45" s="136"/>
      <c r="G45" s="249"/>
      <c r="H45" s="250"/>
      <c r="I45" s="251"/>
      <c r="J45" s="252"/>
      <c r="K45" s="253"/>
      <c r="L45" s="254"/>
      <c r="M45" s="255"/>
      <c r="N45" s="256"/>
      <c r="O45" s="256"/>
      <c r="P45" s="257"/>
      <c r="Q45" s="57"/>
      <c r="R45" s="57"/>
      <c r="S45" s="57"/>
      <c r="T45" s="44"/>
      <c r="U45"/>
      <c r="V45" s="56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44"/>
      <c r="BM45" s="57"/>
      <c r="BN45" s="48"/>
      <c r="BO45" s="80"/>
      <c r="BP45" s="248"/>
      <c r="BQ45" s="136"/>
      <c r="BR45" s="258"/>
      <c r="BS45" s="136"/>
      <c r="BT45" s="259"/>
      <c r="BU45" s="260"/>
      <c r="BV45" s="261"/>
      <c r="BW45" s="262"/>
      <c r="BX45" s="263"/>
      <c r="BY45" s="99"/>
      <c r="BZ45" s="99"/>
      <c r="CA45" s="257"/>
      <c r="CB45" s="57"/>
      <c r="CC45" s="57"/>
      <c r="CD45" s="57"/>
      <c r="CE45" s="44"/>
    </row>
    <row r="46" spans="1:83" s="52" customFormat="1" ht="16.5">
      <c r="A46" s="44"/>
      <c r="B46" s="57"/>
      <c r="C46" s="48"/>
      <c r="D46" s="80"/>
      <c r="E46" s="139" t="s">
        <v>167</v>
      </c>
      <c r="F46" s="140" t="s">
        <v>167</v>
      </c>
      <c r="G46" s="140" t="s">
        <v>167</v>
      </c>
      <c r="H46" s="140" t="s">
        <v>167</v>
      </c>
      <c r="I46" s="142" t="s">
        <v>167</v>
      </c>
      <c r="J46" s="143"/>
      <c r="K46" s="141" t="s">
        <v>167</v>
      </c>
      <c r="L46" s="144" t="s">
        <v>167</v>
      </c>
      <c r="M46" s="144" t="s">
        <v>167</v>
      </c>
      <c r="N46" s="144" t="s">
        <v>167</v>
      </c>
      <c r="O46" s="144" t="s">
        <v>167</v>
      </c>
      <c r="P46" s="145" t="s">
        <v>167</v>
      </c>
      <c r="Q46" s="57"/>
      <c r="R46" s="57"/>
      <c r="S46" s="57"/>
      <c r="T46" s="44"/>
      <c r="U46"/>
      <c r="V46" s="56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44"/>
      <c r="BM46" s="57"/>
      <c r="BN46" s="48"/>
      <c r="BO46" s="80"/>
      <c r="BP46" s="139" t="s">
        <v>167</v>
      </c>
      <c r="BQ46" s="140" t="s">
        <v>167</v>
      </c>
      <c r="BR46" s="140" t="s">
        <v>167</v>
      </c>
      <c r="BS46" s="140" t="s">
        <v>167</v>
      </c>
      <c r="BT46" s="142" t="s">
        <v>167</v>
      </c>
      <c r="BU46" s="143"/>
      <c r="BV46" s="141" t="s">
        <v>167</v>
      </c>
      <c r="BW46" s="144" t="s">
        <v>167</v>
      </c>
      <c r="BX46" s="144" t="s">
        <v>167</v>
      </c>
      <c r="BY46" s="144" t="s">
        <v>167</v>
      </c>
      <c r="BZ46" s="144" t="s">
        <v>167</v>
      </c>
      <c r="CA46" s="145" t="s">
        <v>167</v>
      </c>
      <c r="CB46" s="57"/>
      <c r="CC46" s="57"/>
      <c r="CD46" s="57"/>
      <c r="CE46" s="44"/>
    </row>
    <row r="47" spans="1:83" s="52" customFormat="1" ht="4.9000000000000004" customHeight="1">
      <c r="A47" s="44"/>
      <c r="B47" s="57"/>
      <c r="C47"/>
      <c r="D47"/>
      <c r="E47" s="50"/>
      <c r="F47" s="50"/>
      <c r="G47" s="50"/>
      <c r="H47" s="50"/>
      <c r="I47" s="50"/>
      <c r="J47" s="4"/>
      <c r="K47" s="4"/>
      <c r="L47" s="4"/>
      <c r="M47" s="4"/>
      <c r="N47" s="4"/>
      <c r="O47" s="4"/>
      <c r="P47" s="4"/>
      <c r="Q47" s="57"/>
      <c r="R47" s="57"/>
      <c r="S47" s="57"/>
      <c r="T47" s="44"/>
      <c r="U47"/>
      <c r="V47" s="56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44"/>
      <c r="BM47" s="57"/>
      <c r="BN47"/>
      <c r="BO47"/>
      <c r="BP47" s="50"/>
      <c r="BQ47" s="50"/>
      <c r="BR47" s="50"/>
      <c r="BS47" s="50"/>
      <c r="BT47" s="50"/>
      <c r="BU47" s="4"/>
      <c r="BV47" s="4"/>
      <c r="BW47" s="4"/>
      <c r="BX47" s="4"/>
      <c r="BY47" s="4"/>
      <c r="BZ47" s="4"/>
      <c r="CA47" s="4"/>
      <c r="CB47" s="57"/>
      <c r="CC47" s="57"/>
      <c r="CD47" s="57"/>
      <c r="CE47" s="44"/>
    </row>
    <row r="48" spans="1:83" s="52" customFormat="1" ht="16.5">
      <c r="A48" s="44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/>
      <c r="Q48" s="57"/>
      <c r="R48" s="57"/>
      <c r="S48" s="57"/>
      <c r="T48" s="44"/>
      <c r="U48"/>
      <c r="V48" s="56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44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/>
      <c r="CB48" s="57"/>
      <c r="CC48" s="57"/>
      <c r="CD48" s="57"/>
      <c r="CE48" s="44"/>
    </row>
    <row r="49" spans="1:83" s="52" customFormat="1" ht="16.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/>
      <c r="V49" s="56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</row>
    <row r="50" spans="1:83" ht="17.45" hidden="1" customHeight="1"/>
    <row r="51" spans="1:83" ht="17.45" hidden="1" customHeight="1"/>
    <row r="52" spans="1:83" ht="17.45" hidden="1" customHeight="1"/>
    <row r="53" spans="1:83" ht="17.45" hidden="1" customHeight="1"/>
    <row r="54" spans="1:83" ht="17.45" hidden="1" customHeight="1"/>
    <row r="55" spans="1:83" ht="16.5" hidden="1"/>
    <row r="56" spans="1:83" ht="16.5" hidden="1"/>
    <row r="57" spans="1:83" ht="16.5" hidden="1"/>
    <row r="58" spans="1:83" ht="16.5" hidden="1"/>
    <row r="59" spans="1:83" ht="16.5" hidden="1"/>
    <row r="60" spans="1:83" ht="16.5" hidden="1"/>
    <row r="61" spans="1:83" ht="16.5" hidden="1"/>
    <row r="62" spans="1:83" ht="16.5" hidden="1"/>
    <row r="63" spans="1:83" ht="16.5" hidden="1"/>
    <row r="64" spans="1:83" ht="16.5" hidden="1"/>
    <row r="65" ht="16.5" hidden="1"/>
    <row r="66" ht="16.5" hidden="1"/>
    <row r="67" ht="16.5" hidden="1"/>
    <row r="68" ht="16.5" hidden="1"/>
    <row r="69" ht="16.5" hidden="1"/>
    <row r="70" ht="16.5" hidden="1"/>
    <row r="71" ht="16.5" hidden="1"/>
    <row r="72" ht="16.5" hidden="1"/>
    <row r="73" ht="16.5" hidden="1"/>
    <row r="74" ht="16.5" hidden="1"/>
    <row r="75" ht="17.45" hidden="1" customHeight="1"/>
    <row r="76" ht="17.45" hidden="1" customHeight="1"/>
    <row r="77" ht="17.45" hidden="1" customHeight="1"/>
    <row r="78" ht="17.45" hidden="1" customHeight="1"/>
    <row r="79" ht="17.45" hidden="1" customHeight="1"/>
    <row r="80" ht="17.45" hidden="1" customHeight="1"/>
    <row r="81" ht="17.45" hidden="1" customHeight="1"/>
    <row r="82" ht="17.45" hidden="1" customHeight="1"/>
    <row r="83" ht="17.45" hidden="1" customHeight="1"/>
    <row r="84" ht="17.45" hidden="1" customHeight="1"/>
    <row r="85" ht="17.45" hidden="1" customHeight="1"/>
    <row r="86" ht="17.45" hidden="1" customHeight="1"/>
    <row r="87" ht="17.45" hidden="1" customHeight="1"/>
    <row r="88" ht="17.45" hidden="1" customHeight="1"/>
    <row r="89" ht="17.45" hidden="1" customHeight="1"/>
    <row r="90" ht="17.45" hidden="1" customHeight="1"/>
    <row r="91" ht="17.45" hidden="1" customHeight="1"/>
    <row r="92" ht="17.45" hidden="1" customHeight="1"/>
    <row r="93" ht="17.45" hidden="1" customHeight="1"/>
    <row r="94" ht="17.45" hidden="1" customHeight="1"/>
    <row r="95" ht="17.45" hidden="1" customHeight="1"/>
    <row r="96" ht="17.45" hidden="1" customHeight="1"/>
    <row r="97" ht="17.45" hidden="1" customHeight="1"/>
    <row r="98" ht="17.45" hidden="1" customHeight="1"/>
    <row r="99" ht="17.45" hidden="1" customHeight="1"/>
  </sheetData>
  <mergeCells count="81">
    <mergeCell ref="D10:F10"/>
    <mergeCell ref="BO10:BQ10"/>
    <mergeCell ref="K11:P11"/>
    <mergeCell ref="BV11:CA11"/>
    <mergeCell ref="K12:P12"/>
    <mergeCell ref="BV12:CA12"/>
    <mergeCell ref="K13:P13"/>
    <mergeCell ref="BV13:CA13"/>
    <mergeCell ref="K14:P14"/>
    <mergeCell ref="BV14:CA14"/>
    <mergeCell ref="I17:J17"/>
    <mergeCell ref="K17:P17"/>
    <mergeCell ref="BT17:BU17"/>
    <mergeCell ref="BV17:CA17"/>
    <mergeCell ref="I18:J18"/>
    <mergeCell ref="K18:P18"/>
    <mergeCell ref="BT18:BU18"/>
    <mergeCell ref="BV18:CA18"/>
    <mergeCell ref="K19:P19"/>
    <mergeCell ref="BT19:BU19"/>
    <mergeCell ref="BV19:CA19"/>
    <mergeCell ref="K20:P20"/>
    <mergeCell ref="K21:P21"/>
    <mergeCell ref="K22:P22"/>
    <mergeCell ref="K23:P23"/>
    <mergeCell ref="I24:J24"/>
    <mergeCell ref="K24:P24"/>
    <mergeCell ref="BT24:BU24"/>
    <mergeCell ref="BV24:CA24"/>
    <mergeCell ref="E27:F27"/>
    <mergeCell ref="BP27:BQ27"/>
    <mergeCell ref="E28:F28"/>
    <mergeCell ref="BP28:BQ28"/>
    <mergeCell ref="I29:J29"/>
    <mergeCell ref="L29:P29"/>
    <mergeCell ref="BT29:BU29"/>
    <mergeCell ref="BW29:CA29"/>
    <mergeCell ref="I30:J30"/>
    <mergeCell ref="L30:P30"/>
    <mergeCell ref="BT30:BU30"/>
    <mergeCell ref="BW30:CA30"/>
    <mergeCell ref="I31:J31"/>
    <mergeCell ref="L31:P31"/>
    <mergeCell ref="BT31:BU31"/>
    <mergeCell ref="BW31:CA31"/>
    <mergeCell ref="I32:J32"/>
    <mergeCell ref="L32:P32"/>
    <mergeCell ref="BT32:BU32"/>
    <mergeCell ref="BW32:CA32"/>
    <mergeCell ref="I33:J33"/>
    <mergeCell ref="L33:P33"/>
    <mergeCell ref="BT33:BU33"/>
    <mergeCell ref="BW33:CA33"/>
    <mergeCell ref="I34:J34"/>
    <mergeCell ref="L34:P34"/>
    <mergeCell ref="BT34:BU34"/>
    <mergeCell ref="BW34:CA34"/>
    <mergeCell ref="E37:E39"/>
    <mergeCell ref="F37:F39"/>
    <mergeCell ref="G37:G39"/>
    <mergeCell ref="H37:H39"/>
    <mergeCell ref="I37:J39"/>
    <mergeCell ref="BW37:CA37"/>
    <mergeCell ref="L38:L39"/>
    <mergeCell ref="M38:N38"/>
    <mergeCell ref="O38:O39"/>
    <mergeCell ref="P38:P39"/>
    <mergeCell ref="BW38:BW39"/>
    <mergeCell ref="BX38:BY38"/>
    <mergeCell ref="BZ38:BZ39"/>
    <mergeCell ref="CA38:CA39"/>
    <mergeCell ref="L37:P37"/>
    <mergeCell ref="BP37:BP39"/>
    <mergeCell ref="BQ37:BQ39"/>
    <mergeCell ref="BR37:BR39"/>
    <mergeCell ref="I40:J40"/>
    <mergeCell ref="BT40:BU40"/>
    <mergeCell ref="BS37:BS39"/>
    <mergeCell ref="BT37:BU39"/>
    <mergeCell ref="BV37:BV39"/>
    <mergeCell ref="K37:K39"/>
  </mergeCells>
  <phoneticPr fontId="35" type="noConversion"/>
  <pageMargins left="0.69972223043441772" right="0.69972223043441772" top="0.75" bottom="0.75" header="0.30000001192092896" footer="0.30000001192092896"/>
  <pageSetup paperSize="9" scale="5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Z43"/>
  <sheetViews>
    <sheetView showGridLines="0" view="pageBreakPreview" zoomScale="90" zoomScaleNormal="90" zoomScaleSheetLayoutView="90" workbookViewId="0">
      <selection activeCell="S10" sqref="S10:S14"/>
    </sheetView>
  </sheetViews>
  <sheetFormatPr defaultColWidth="0" defaultRowHeight="16.5" zeroHeight="1"/>
  <cols>
    <col min="1" max="4" width="2.625" style="57" customWidth="1"/>
    <col min="5" max="7" width="26.75" style="57" customWidth="1"/>
    <col min="8" max="8" width="27.75" style="57" customWidth="1"/>
    <col min="9" max="12" width="2.625" style="57" customWidth="1"/>
    <col min="13" max="13" width="2.625" customWidth="1"/>
    <col min="14" max="18" width="2.625" style="57" customWidth="1"/>
    <col min="19" max="21" width="26.75" style="57" customWidth="1"/>
    <col min="22" max="22" width="27.75" style="57" customWidth="1"/>
    <col min="23" max="26" width="2.625" style="57" customWidth="1"/>
    <col min="27" max="16384" width="8.75" style="57" hidden="1"/>
  </cols>
  <sheetData>
    <row r="1" spans="1:26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N1" s="56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>
      <c r="A2" s="44"/>
      <c r="B2" s="55"/>
      <c r="L2" s="44"/>
      <c r="N2" s="56"/>
      <c r="O2" s="44"/>
      <c r="P2" s="55" t="s">
        <v>146</v>
      </c>
      <c r="Z2" s="44"/>
    </row>
    <row r="3" spans="1:26" ht="20.25">
      <c r="A3" s="44"/>
      <c r="C3" s="69" t="s">
        <v>291</v>
      </c>
      <c r="D3" s="66"/>
      <c r="E3" s="66"/>
      <c r="F3" s="66"/>
      <c r="G3" s="66"/>
      <c r="H3" s="66"/>
      <c r="I3" s="66"/>
      <c r="J3" s="66"/>
      <c r="K3" s="65"/>
      <c r="L3" s="44"/>
      <c r="M3" s="50"/>
      <c r="N3" s="58"/>
      <c r="O3" s="44"/>
      <c r="Q3" s="69" t="s">
        <v>291</v>
      </c>
      <c r="R3" s="66"/>
      <c r="S3" s="66"/>
      <c r="T3" s="66"/>
      <c r="U3" s="66"/>
      <c r="V3" s="66"/>
      <c r="W3" s="66"/>
      <c r="X3" s="66"/>
      <c r="Y3" s="65"/>
      <c r="Z3" s="44"/>
    </row>
    <row r="4" spans="1:26" ht="16.899999999999999" customHeight="1">
      <c r="A4" s="44"/>
      <c r="C4" s="67" t="s">
        <v>148</v>
      </c>
      <c r="D4" s="433" t="s">
        <v>292</v>
      </c>
      <c r="E4" s="433"/>
      <c r="F4" s="433"/>
      <c r="G4" s="433"/>
      <c r="H4" s="433"/>
      <c r="I4" s="150"/>
      <c r="J4" s="68"/>
      <c r="K4" s="65"/>
      <c r="L4" s="44"/>
      <c r="M4" s="50"/>
      <c r="N4" s="58"/>
      <c r="O4" s="44"/>
      <c r="Q4" s="67" t="s">
        <v>148</v>
      </c>
      <c r="R4" s="433" t="s">
        <v>292</v>
      </c>
      <c r="S4" s="433"/>
      <c r="T4" s="433"/>
      <c r="U4" s="433"/>
      <c r="V4" s="433"/>
      <c r="W4" s="150"/>
      <c r="X4" s="68"/>
      <c r="Y4" s="65"/>
      <c r="Z4" s="44"/>
    </row>
    <row r="5" spans="1:26" ht="16.899999999999999" customHeight="1">
      <c r="A5" s="44"/>
      <c r="C5" s="67"/>
      <c r="D5" s="434"/>
      <c r="E5" s="434"/>
      <c r="F5" s="434"/>
      <c r="G5" s="434"/>
      <c r="H5" s="434"/>
      <c r="I5" s="68"/>
      <c r="J5" s="68"/>
      <c r="K5" s="65"/>
      <c r="L5" s="44"/>
      <c r="M5" s="50"/>
      <c r="N5" s="58"/>
      <c r="O5" s="44"/>
      <c r="Q5" s="67"/>
      <c r="R5" s="434"/>
      <c r="S5" s="434"/>
      <c r="T5" s="434"/>
      <c r="U5" s="434"/>
      <c r="V5" s="434"/>
      <c r="W5" s="68"/>
      <c r="X5" s="68"/>
      <c r="Y5" s="65"/>
      <c r="Z5" s="44"/>
    </row>
    <row r="6" spans="1:26" ht="16.899999999999999" customHeight="1">
      <c r="A6" s="44"/>
      <c r="C6" s="67" t="s">
        <v>148</v>
      </c>
      <c r="D6" s="151" t="s">
        <v>293</v>
      </c>
      <c r="E6" s="68"/>
      <c r="F6" s="68"/>
      <c r="G6" s="68"/>
      <c r="H6" s="68"/>
      <c r="I6" s="68"/>
      <c r="J6" s="68"/>
      <c r="K6" s="65"/>
      <c r="L6" s="44"/>
      <c r="M6" s="50"/>
      <c r="N6" s="58"/>
      <c r="O6" s="44"/>
      <c r="Q6" s="67" t="s">
        <v>148</v>
      </c>
      <c r="R6" s="151" t="s">
        <v>293</v>
      </c>
      <c r="S6" s="68"/>
      <c r="T6" s="68"/>
      <c r="U6" s="68"/>
      <c r="V6" s="68"/>
      <c r="W6" s="68"/>
      <c r="X6" s="68"/>
      <c r="Y6" s="65"/>
      <c r="Z6" s="44"/>
    </row>
    <row r="7" spans="1:26" ht="4.9000000000000004" customHeight="1">
      <c r="A7" s="44"/>
      <c r="B7" s="65"/>
      <c r="C7" s="65"/>
      <c r="D7" s="65"/>
      <c r="E7" s="65"/>
      <c r="F7" s="65"/>
      <c r="G7" s="65"/>
      <c r="H7" s="65"/>
      <c r="L7" s="44"/>
      <c r="N7" s="56"/>
      <c r="O7" s="44"/>
      <c r="P7" s="65"/>
      <c r="Q7" s="65"/>
      <c r="R7" s="65"/>
      <c r="S7" s="65"/>
      <c r="T7" s="65"/>
      <c r="U7" s="65"/>
      <c r="V7" s="65"/>
      <c r="Z7" s="44"/>
    </row>
    <row r="8" spans="1:26">
      <c r="A8" s="44"/>
      <c r="E8" s="196" t="s">
        <v>294</v>
      </c>
      <c r="F8" s="197" t="s">
        <v>295</v>
      </c>
      <c r="G8" s="197" t="s">
        <v>296</v>
      </c>
      <c r="H8" s="198" t="s">
        <v>297</v>
      </c>
      <c r="L8" s="44"/>
      <c r="N8" s="56"/>
      <c r="O8" s="44"/>
      <c r="S8" s="196" t="s">
        <v>294</v>
      </c>
      <c r="T8" s="197" t="s">
        <v>295</v>
      </c>
      <c r="U8" s="197" t="s">
        <v>296</v>
      </c>
      <c r="V8" s="198" t="s">
        <v>297</v>
      </c>
      <c r="Z8" s="44"/>
    </row>
    <row r="9" spans="1:26">
      <c r="A9" s="44"/>
      <c r="E9" s="165"/>
      <c r="F9" s="159"/>
      <c r="G9" s="159"/>
      <c r="H9" s="161"/>
      <c r="L9" s="44"/>
      <c r="N9" s="56"/>
      <c r="O9" s="44"/>
      <c r="S9" s="175" t="s">
        <v>157</v>
      </c>
      <c r="T9" s="173" t="s">
        <v>298</v>
      </c>
      <c r="U9" s="173" t="s">
        <v>299</v>
      </c>
      <c r="V9" s="174" t="s">
        <v>300</v>
      </c>
      <c r="Z9" s="44"/>
    </row>
    <row r="10" spans="1:26">
      <c r="A10" s="44"/>
      <c r="E10" s="158"/>
      <c r="F10" s="159"/>
      <c r="G10" s="159"/>
      <c r="H10" s="161"/>
      <c r="L10" s="44"/>
      <c r="N10" s="56"/>
      <c r="O10" s="44"/>
      <c r="S10" s="175" t="s">
        <v>301</v>
      </c>
      <c r="T10" s="173" t="s">
        <v>302</v>
      </c>
      <c r="U10" s="173" t="s">
        <v>303</v>
      </c>
      <c r="V10" s="174" t="s">
        <v>304</v>
      </c>
      <c r="Z10" s="44"/>
    </row>
    <row r="11" spans="1:26">
      <c r="A11" s="44"/>
      <c r="E11" s="158"/>
      <c r="F11" s="159"/>
      <c r="G11" s="159"/>
      <c r="H11" s="162"/>
      <c r="L11" s="44"/>
      <c r="N11" s="56"/>
      <c r="O11" s="44"/>
      <c r="S11" s="175" t="s">
        <v>305</v>
      </c>
      <c r="T11" s="173" t="s">
        <v>306</v>
      </c>
      <c r="U11" s="173" t="s">
        <v>307</v>
      </c>
      <c r="V11" s="176" t="s">
        <v>308</v>
      </c>
      <c r="Z11" s="44"/>
    </row>
    <row r="12" spans="1:26" ht="16.899999999999999" customHeight="1">
      <c r="A12" s="44"/>
      <c r="E12" s="157"/>
      <c r="F12" s="156"/>
      <c r="G12" s="159"/>
      <c r="H12" s="163"/>
      <c r="L12" s="44"/>
      <c r="N12" s="56"/>
      <c r="O12" s="44"/>
      <c r="S12" s="177" t="s">
        <v>208</v>
      </c>
      <c r="T12" s="178" t="s">
        <v>309</v>
      </c>
      <c r="U12" s="173" t="s">
        <v>310</v>
      </c>
      <c r="V12" s="179" t="s">
        <v>311</v>
      </c>
      <c r="Z12" s="44"/>
    </row>
    <row r="13" spans="1:26" ht="16.899999999999999" customHeight="1">
      <c r="A13" s="44"/>
      <c r="E13" s="157"/>
      <c r="F13" s="156"/>
      <c r="G13" s="159"/>
      <c r="H13" s="163"/>
      <c r="L13" s="44"/>
      <c r="N13" s="56"/>
      <c r="O13" s="44"/>
      <c r="S13" s="177" t="s">
        <v>208</v>
      </c>
      <c r="T13" s="178" t="s">
        <v>312</v>
      </c>
      <c r="U13" s="173" t="s">
        <v>313</v>
      </c>
      <c r="V13" s="179" t="s">
        <v>314</v>
      </c>
      <c r="Z13" s="44"/>
    </row>
    <row r="14" spans="1:26">
      <c r="A14" s="44"/>
      <c r="E14" s="157"/>
      <c r="F14" s="156"/>
      <c r="G14" s="159"/>
      <c r="H14" s="161"/>
      <c r="L14" s="44"/>
      <c r="N14" s="56"/>
      <c r="O14" s="44"/>
      <c r="S14" s="177" t="s">
        <v>315</v>
      </c>
      <c r="T14" s="178" t="s">
        <v>316</v>
      </c>
      <c r="U14" s="173" t="s">
        <v>317</v>
      </c>
      <c r="V14" s="174" t="s">
        <v>318</v>
      </c>
      <c r="Z14" s="44"/>
    </row>
    <row r="15" spans="1:26">
      <c r="A15" s="44"/>
      <c r="E15" s="166"/>
      <c r="F15" s="160"/>
      <c r="G15" s="167"/>
      <c r="H15" s="164"/>
      <c r="L15" s="44"/>
      <c r="N15" s="56"/>
      <c r="O15" s="44"/>
      <c r="S15" s="180" t="s">
        <v>248</v>
      </c>
      <c r="T15" s="181" t="s">
        <v>319</v>
      </c>
      <c r="U15" s="182" t="s">
        <v>320</v>
      </c>
      <c r="V15" s="183" t="s">
        <v>321</v>
      </c>
      <c r="Z15" s="44"/>
    </row>
    <row r="16" spans="1:26">
      <c r="A16" s="44"/>
      <c r="E16" s="166"/>
      <c r="F16" s="160"/>
      <c r="G16" s="167"/>
      <c r="H16" s="164"/>
      <c r="L16" s="44"/>
      <c r="N16" s="56"/>
      <c r="O16" s="44"/>
      <c r="S16" s="180" t="s">
        <v>255</v>
      </c>
      <c r="T16" s="181" t="s">
        <v>322</v>
      </c>
      <c r="U16" s="182" t="s">
        <v>323</v>
      </c>
      <c r="V16" s="183" t="s">
        <v>324</v>
      </c>
      <c r="Z16" s="44"/>
    </row>
    <row r="17" spans="1:26">
      <c r="A17" s="44"/>
      <c r="E17" s="166"/>
      <c r="F17" s="160"/>
      <c r="G17" s="167"/>
      <c r="H17" s="164"/>
      <c r="L17" s="44"/>
      <c r="N17" s="56"/>
      <c r="O17" s="44"/>
      <c r="S17" s="180" t="s">
        <v>268</v>
      </c>
      <c r="T17" s="181" t="s">
        <v>325</v>
      </c>
      <c r="U17" s="182" t="s">
        <v>326</v>
      </c>
      <c r="V17" s="183" t="s">
        <v>327</v>
      </c>
      <c r="Z17" s="44"/>
    </row>
    <row r="18" spans="1:26">
      <c r="A18" s="44"/>
      <c r="E18" s="166"/>
      <c r="F18" s="160"/>
      <c r="G18" s="167"/>
      <c r="H18" s="164"/>
      <c r="L18" s="44"/>
      <c r="N18" s="56"/>
      <c r="O18" s="44"/>
      <c r="S18" s="180" t="s">
        <v>278</v>
      </c>
      <c r="T18" s="181" t="s">
        <v>328</v>
      </c>
      <c r="U18" s="182" t="s">
        <v>329</v>
      </c>
      <c r="V18" s="183" t="s">
        <v>330</v>
      </c>
      <c r="Z18" s="44"/>
    </row>
    <row r="19" spans="1:26">
      <c r="A19" s="44"/>
      <c r="E19" s="168" t="s">
        <v>331</v>
      </c>
      <c r="F19" s="129" t="s">
        <v>167</v>
      </c>
      <c r="G19" s="129" t="s">
        <v>167</v>
      </c>
      <c r="H19" s="130" t="s">
        <v>167</v>
      </c>
      <c r="L19" s="44"/>
      <c r="N19" s="56"/>
      <c r="O19" s="44"/>
      <c r="S19" s="168" t="s">
        <v>331</v>
      </c>
      <c r="T19" s="129" t="s">
        <v>167</v>
      </c>
      <c r="U19" s="129" t="s">
        <v>167</v>
      </c>
      <c r="V19" s="130" t="s">
        <v>167</v>
      </c>
      <c r="Z19" s="44"/>
    </row>
    <row r="20" spans="1:26" ht="4.9000000000000004" customHeight="1">
      <c r="A20" s="44"/>
      <c r="E20" s="153"/>
      <c r="F20" s="153"/>
      <c r="G20" s="153"/>
      <c r="H20" s="152"/>
      <c r="L20" s="44"/>
      <c r="N20" s="56"/>
      <c r="O20" s="44"/>
      <c r="S20" s="153"/>
      <c r="T20" s="153"/>
      <c r="U20" s="153"/>
      <c r="V20" s="152"/>
      <c r="Z20" s="44"/>
    </row>
    <row r="21" spans="1:26">
      <c r="A21" s="44"/>
      <c r="C21" s="64"/>
      <c r="E21" s="154"/>
      <c r="F21" s="154"/>
      <c r="G21" s="154"/>
      <c r="H21" s="155"/>
      <c r="L21" s="44"/>
      <c r="N21" s="56"/>
      <c r="O21" s="44"/>
      <c r="Q21" s="64"/>
      <c r="S21" s="154"/>
      <c r="T21" s="154"/>
      <c r="U21" s="154"/>
      <c r="V21" s="155"/>
      <c r="Z21" s="44"/>
    </row>
    <row r="22" spans="1:26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N22" s="56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7.45" hidden="1" customHeight="1"/>
    <row r="24" spans="1:26" ht="17.45" hidden="1" customHeight="1"/>
    <row r="25" spans="1:26" ht="17.45" hidden="1" customHeight="1"/>
    <row r="26" spans="1:26" ht="17.45" hidden="1" customHeight="1"/>
    <row r="27" spans="1:26" ht="17.45" hidden="1" customHeight="1"/>
    <row r="28" spans="1:26" ht="17.45" hidden="1" customHeight="1"/>
    <row r="29" spans="1:26" ht="17.45" hidden="1" customHeight="1"/>
    <row r="30" spans="1:26" ht="17.45" hidden="1" customHeight="1"/>
    <row r="31" spans="1:26" ht="17.45" hidden="1" customHeight="1"/>
    <row r="32" spans="1:26" ht="17.45" hidden="1" customHeight="1"/>
    <row r="33" ht="17.45" hidden="1" customHeight="1"/>
    <row r="34" ht="17.45" hidden="1" customHeight="1"/>
    <row r="35" ht="17.45" hidden="1" customHeight="1"/>
    <row r="36" ht="17.45" hidden="1" customHeight="1"/>
    <row r="37" ht="17.45" hidden="1" customHeight="1"/>
    <row r="38" ht="17.45" hidden="1" customHeight="1"/>
    <row r="39" ht="17.45" hidden="1" customHeight="1"/>
    <row r="40" ht="17.45" hidden="1" customHeight="1"/>
    <row r="41" ht="17.45" hidden="1" customHeight="1"/>
    <row r="42" ht="17.45" hidden="1" customHeight="1"/>
    <row r="43" ht="17.45" hidden="1" customHeight="1"/>
  </sheetData>
  <mergeCells count="2">
    <mergeCell ref="D4:H5"/>
    <mergeCell ref="R4:V5"/>
  </mergeCells>
  <phoneticPr fontId="35" type="noConversion"/>
  <dataValidations count="2">
    <dataValidation type="list" allowBlank="1" showInputMessage="1" showErrorMessage="1" sqref="V10 H10" xr:uid="{00000000-0002-0000-0500-000000000000}">
      <formula1>$E$25:$E$30</formula1>
    </dataValidation>
    <dataValidation type="list" allowBlank="1" showDropDown="1" showInputMessage="1" showErrorMessage="1" sqref="V9 H9" xr:uid="{00000000-0002-0000-0500-000001000000}">
      <formula1>$D$25:$D$27</formula1>
    </dataValidation>
  </dataValidations>
  <pageMargins left="0.69972223043441772" right="0.69972223043441772" top="0.75" bottom="0.75" header="0.30000001192092896" footer="0.30000001192092896"/>
  <pageSetup paperSize="9" scale="62" orientation="portrait" r:id="rId1"/>
  <colBreaks count="1" manualBreakCount="1">
    <brk id="12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기술 DB</vt:lpstr>
      <vt:lpstr>표지</vt:lpstr>
      <vt:lpstr>데이터 수집 범위</vt:lpstr>
      <vt:lpstr>투입물 데이터 수집</vt:lpstr>
      <vt:lpstr>산출물 데이터 수집</vt:lpstr>
      <vt:lpstr>참고자료</vt:lpstr>
      <vt:lpstr>'데이터 수집 범위'!Print_Area</vt:lpstr>
      <vt:lpstr>'산출물 데이터 수집'!Print_Area</vt:lpstr>
      <vt:lpstr>참고자료!Print_Area</vt:lpstr>
      <vt:lpstr>'투입물 데이터 수집'!Print_Area</vt:lpstr>
      <vt:lpstr>표지!Print_Area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Jaeyoung Lee</dc:creator>
  <cp:keywords/>
  <dc:description/>
  <cp:lastModifiedBy>김성준</cp:lastModifiedBy>
  <cp:revision>13</cp:revision>
  <dcterms:created xsi:type="dcterms:W3CDTF">2025-05-26T05:19:51Z</dcterms:created>
  <dcterms:modified xsi:type="dcterms:W3CDTF">2026-04-14T03:19:45Z</dcterms:modified>
  <cp:category/>
  <cp:contentStatus/>
</cp:coreProperties>
</file>