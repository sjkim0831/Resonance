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E8FFA471-BD7C-4A7C-8D45-83D050680A02}" xr6:coauthVersionLast="47" xr6:coauthVersionMax="47" xr10:uidLastSave="{00000000-0000-0000-0000-000000000000}"/>
  <bookViews>
    <workbookView xWindow="38280" yWindow="5085" windowWidth="29040" windowHeight="15720" xr2:uid="{00000000-000D-0000-FFFF-FFFF00000000}"/>
  </bookViews>
  <sheets>
    <sheet name="주조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</calcChain>
</file>

<file path=xl/sharedStrings.xml><?xml version="1.0" encoding="utf-8"?>
<sst xmlns="http://schemas.openxmlformats.org/spreadsheetml/2006/main" count="219" uniqueCount="136">
  <si>
    <t>필터</t>
    <phoneticPr fontId="2" type="noConversion"/>
  </si>
  <si>
    <t>오일</t>
    <phoneticPr fontId="2" type="noConversion"/>
  </si>
  <si>
    <t>구리스</t>
    <phoneticPr fontId="2" type="noConversion"/>
  </si>
  <si>
    <t>세부항목</t>
    <phoneticPr fontId="2" type="noConversion"/>
  </si>
  <si>
    <t>점검주기(청소주기)</t>
    <phoneticPr fontId="2" type="noConversion"/>
  </si>
  <si>
    <t>스프레이로봇</t>
    <phoneticPr fontId="2" type="noConversion"/>
  </si>
  <si>
    <t>배터리</t>
    <phoneticPr fontId="2" type="noConversion"/>
  </si>
  <si>
    <t>구리스</t>
    <phoneticPr fontId="2" type="noConversion"/>
  </si>
  <si>
    <t>취출로봇</t>
    <phoneticPr fontId="2" type="noConversion"/>
  </si>
  <si>
    <t>배터리</t>
    <phoneticPr fontId="2" type="noConversion"/>
  </si>
  <si>
    <t>구리스</t>
    <phoneticPr fontId="2" type="noConversion"/>
  </si>
  <si>
    <t>래들</t>
    <phoneticPr fontId="2" type="noConversion"/>
  </si>
  <si>
    <t>감속기오일</t>
    <phoneticPr fontId="2" type="noConversion"/>
  </si>
  <si>
    <t>구동부부시</t>
    <phoneticPr fontId="2" type="noConversion"/>
  </si>
  <si>
    <t>암체인</t>
    <phoneticPr fontId="2" type="noConversion"/>
  </si>
  <si>
    <t>트리밍</t>
    <phoneticPr fontId="2" type="noConversion"/>
  </si>
  <si>
    <t>부속장치</t>
    <phoneticPr fontId="2" type="noConversion"/>
  </si>
  <si>
    <t>예방점검항목</t>
    <phoneticPr fontId="2" type="noConversion"/>
  </si>
  <si>
    <t>교환주기(일)</t>
    <phoneticPr fontId="2" type="noConversion"/>
  </si>
  <si>
    <t>정비이력/ 교체이력 표시 유무</t>
    <phoneticPr fontId="2" type="noConversion"/>
  </si>
  <si>
    <t>주요부품(모델링시 참고용)</t>
    <phoneticPr fontId="2" type="noConversion"/>
  </si>
  <si>
    <t>NO.</t>
    <phoneticPr fontId="2" type="noConversion"/>
  </si>
  <si>
    <t>주조기</t>
    <phoneticPr fontId="2" type="noConversion"/>
  </si>
  <si>
    <t>필터</t>
    <phoneticPr fontId="2" type="noConversion"/>
  </si>
  <si>
    <t>작동유 환기</t>
  </si>
  <si>
    <t>작동유 석션</t>
  </si>
  <si>
    <t>작동유 리턴</t>
  </si>
  <si>
    <t>냉각수 메인 스트레이너</t>
    <phoneticPr fontId="2" type="noConversion"/>
  </si>
  <si>
    <t>열교환기 냉각수 스트레이너</t>
    <phoneticPr fontId="2" type="noConversion"/>
  </si>
  <si>
    <t>작동유</t>
    <phoneticPr fontId="2" type="noConversion"/>
  </si>
  <si>
    <t>습동유</t>
    <phoneticPr fontId="2" type="noConversion"/>
  </si>
  <si>
    <t>플런져 오일</t>
    <phoneticPr fontId="2" type="noConversion"/>
  </si>
  <si>
    <t>메인펌프 모타 베어링</t>
    <phoneticPr fontId="2" type="noConversion"/>
  </si>
  <si>
    <t>타이바 분할 너트</t>
    <phoneticPr fontId="2" type="noConversion"/>
  </si>
  <si>
    <t>타이바 고정 너트</t>
    <phoneticPr fontId="2" type="noConversion"/>
  </si>
  <si>
    <t>6개월</t>
    <phoneticPr fontId="2" type="noConversion"/>
  </si>
  <si>
    <t>6개월</t>
    <phoneticPr fontId="2" type="noConversion"/>
  </si>
  <si>
    <t>2개월</t>
    <phoneticPr fontId="2" type="noConversion"/>
  </si>
  <si>
    <t>1개월</t>
    <phoneticPr fontId="2" type="noConversion"/>
  </si>
  <si>
    <t>1년</t>
    <phoneticPr fontId="2" type="noConversion"/>
  </si>
  <si>
    <t>1년 6개월</t>
    <phoneticPr fontId="2" type="noConversion"/>
  </si>
  <si>
    <t>1년</t>
    <phoneticPr fontId="2" type="noConversion"/>
  </si>
  <si>
    <t>제트쿨러</t>
    <phoneticPr fontId="2" type="noConversion"/>
  </si>
  <si>
    <t>진공장치</t>
    <phoneticPr fontId="2" type="noConversion"/>
  </si>
  <si>
    <t>1차 필터 2SET</t>
    <phoneticPr fontId="2" type="noConversion"/>
  </si>
  <si>
    <t>2차 필터</t>
    <phoneticPr fontId="2" type="noConversion"/>
  </si>
  <si>
    <t>1주일</t>
    <phoneticPr fontId="2" type="noConversion"/>
  </si>
  <si>
    <t>6개월</t>
    <phoneticPr fontId="2" type="noConversion"/>
  </si>
  <si>
    <t>3개월</t>
    <phoneticPr fontId="2" type="noConversion"/>
  </si>
  <si>
    <t>6개월</t>
    <phoneticPr fontId="2" type="noConversion"/>
  </si>
  <si>
    <t>1년</t>
    <phoneticPr fontId="2" type="noConversion"/>
  </si>
  <si>
    <t>구리스</t>
  </si>
  <si>
    <t>진공펌프 베아링 기어오일</t>
    <phoneticPr fontId="2" type="noConversion"/>
  </si>
  <si>
    <t>오일</t>
    <phoneticPr fontId="2" type="noConversion"/>
  </si>
  <si>
    <t>냉각수 필터</t>
    <phoneticPr fontId="2" type="noConversion"/>
  </si>
  <si>
    <t>15일</t>
    <phoneticPr fontId="2" type="noConversion"/>
  </si>
  <si>
    <t>모터 베아링 오일</t>
    <phoneticPr fontId="2" type="noConversion"/>
  </si>
  <si>
    <t>D TYPE 4EA</t>
    <phoneticPr fontId="2" type="noConversion"/>
  </si>
  <si>
    <t>1년 6개월</t>
    <phoneticPr fontId="2" type="noConversion"/>
  </si>
  <si>
    <t>3년</t>
    <phoneticPr fontId="2" type="noConversion"/>
  </si>
  <si>
    <t>로봇용 구리스</t>
    <phoneticPr fontId="2" type="noConversion"/>
  </si>
  <si>
    <t>기어오일</t>
    <phoneticPr fontId="2" type="noConversion"/>
  </si>
  <si>
    <t>1년</t>
    <phoneticPr fontId="2" type="noConversion"/>
  </si>
  <si>
    <t>OILESS BUSH</t>
    <phoneticPr fontId="2" type="noConversion"/>
  </si>
  <si>
    <t>1년 6개월</t>
    <phoneticPr fontId="2" type="noConversion"/>
  </si>
  <si>
    <t>오일쿨러</t>
    <phoneticPr fontId="2" type="noConversion"/>
  </si>
  <si>
    <t>청소</t>
    <phoneticPr fontId="2" type="noConversion"/>
  </si>
  <si>
    <t>1년 6개월</t>
    <phoneticPr fontId="2" type="noConversion"/>
  </si>
  <si>
    <t>2년</t>
    <phoneticPr fontId="2" type="noConversion"/>
  </si>
  <si>
    <t>보온로</t>
    <phoneticPr fontId="2" type="noConversion"/>
  </si>
  <si>
    <t>턴테이블로</t>
    <phoneticPr fontId="2" type="noConversion"/>
  </si>
  <si>
    <t>리프터 모타 감속기 오일</t>
    <phoneticPr fontId="2" type="noConversion"/>
  </si>
  <si>
    <t>2년</t>
    <phoneticPr fontId="2" type="noConversion"/>
  </si>
  <si>
    <t>열전대</t>
    <phoneticPr fontId="2" type="noConversion"/>
  </si>
  <si>
    <t>튜브</t>
    <phoneticPr fontId="2" type="noConversion"/>
  </si>
  <si>
    <t>히터</t>
    <phoneticPr fontId="2" type="noConversion"/>
  </si>
  <si>
    <t>열전대 보호관</t>
    <phoneticPr fontId="2" type="noConversion"/>
  </si>
  <si>
    <t>1년</t>
    <phoneticPr fontId="2" type="noConversion"/>
  </si>
  <si>
    <t>소모자재</t>
    <phoneticPr fontId="2" type="noConversion"/>
  </si>
  <si>
    <t>3개월</t>
    <phoneticPr fontId="2" type="noConversion"/>
  </si>
  <si>
    <t>턴테이블 유압 작동유</t>
    <phoneticPr fontId="2" type="noConversion"/>
  </si>
  <si>
    <t>도가니</t>
    <phoneticPr fontId="2" type="noConversion"/>
  </si>
  <si>
    <t>1개월</t>
    <phoneticPr fontId="2" type="noConversion"/>
  </si>
  <si>
    <t>1개월</t>
    <phoneticPr fontId="2" type="noConversion"/>
  </si>
  <si>
    <t>용해로</t>
    <phoneticPr fontId="2" type="noConversion"/>
  </si>
  <si>
    <t>출탕용 유압작동유</t>
    <phoneticPr fontId="2" type="noConversion"/>
  </si>
  <si>
    <t>감속기 기어오일</t>
    <phoneticPr fontId="2" type="noConversion"/>
  </si>
  <si>
    <t>열전대</t>
    <phoneticPr fontId="2" type="noConversion"/>
  </si>
  <si>
    <t>보온실 분위기</t>
    <phoneticPr fontId="2" type="noConversion"/>
  </si>
  <si>
    <t>보온실 용탕</t>
    <phoneticPr fontId="2" type="noConversion"/>
  </si>
  <si>
    <t>용해실 분위기</t>
    <phoneticPr fontId="2" type="noConversion"/>
  </si>
  <si>
    <t>배기 분위기</t>
    <phoneticPr fontId="2" type="noConversion"/>
  </si>
  <si>
    <t>이형제
압송장치</t>
    <phoneticPr fontId="2" type="noConversion"/>
  </si>
  <si>
    <t>컨버터 오일</t>
    <phoneticPr fontId="2" type="noConversion"/>
  </si>
  <si>
    <t>2주</t>
    <phoneticPr fontId="2" type="noConversion"/>
  </si>
  <si>
    <t>1개월</t>
    <phoneticPr fontId="2" type="noConversion"/>
  </si>
  <si>
    <t>6개월</t>
    <phoneticPr fontId="2" type="noConversion"/>
  </si>
  <si>
    <t>1주일</t>
    <phoneticPr fontId="2" type="noConversion"/>
  </si>
  <si>
    <t>진공오일</t>
    <phoneticPr fontId="2" type="noConversion"/>
  </si>
  <si>
    <t>15일</t>
    <phoneticPr fontId="2" type="noConversion"/>
  </si>
  <si>
    <t>6개월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</si>
  <si>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</si>
  <si>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</si>
  <si>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</si>
  <si>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X</t>
    <phoneticPr fontId="2" type="noConversion"/>
  </si>
  <si>
    <t>유압펌프 작동유 교체</t>
    <phoneticPr fontId="2" type="noConversion"/>
  </si>
  <si>
    <t>1주</t>
    <phoneticPr fontId="2" type="noConversion"/>
  </si>
  <si>
    <t>2주</t>
    <phoneticPr fontId="2" type="noConversion"/>
  </si>
  <si>
    <t>1주</t>
    <phoneticPr fontId="2" type="noConversion"/>
  </si>
  <si>
    <t>1주</t>
    <phoneticPr fontId="2" type="noConversion"/>
  </si>
  <si>
    <t>1주</t>
    <phoneticPr fontId="2" type="noConversion"/>
  </si>
  <si>
    <t>2년</t>
    <phoneticPr fontId="2" type="noConversion"/>
  </si>
  <si>
    <t>틸팅 축 베아링</t>
    <phoneticPr fontId="2" type="noConversion"/>
  </si>
  <si>
    <t>오일필터 4SET</t>
    <phoneticPr fontId="2" type="noConversion"/>
  </si>
  <si>
    <t>팬던트</t>
    <phoneticPr fontId="2" type="noConversion"/>
  </si>
  <si>
    <t>본체</t>
    <phoneticPr fontId="2" type="noConversion"/>
  </si>
  <si>
    <t>CABLE</t>
    <phoneticPr fontId="2" type="noConversion"/>
  </si>
  <si>
    <t>센서</t>
    <phoneticPr fontId="2" type="noConversion"/>
  </si>
  <si>
    <t>UV SENSOR(화염감지 센서)</t>
    <phoneticPr fontId="2" type="noConversion"/>
  </si>
  <si>
    <t>ITEM NO</t>
    <phoneticPr fontId="2" type="noConversion"/>
  </si>
  <si>
    <t>UNS -29106-005</t>
  </si>
  <si>
    <t>UNS-29020-002</t>
    <phoneticPr fontId="2" type="noConversion"/>
  </si>
  <si>
    <t>사진 첨부</t>
    <phoneticPr fontId="2" type="noConversion"/>
  </si>
  <si>
    <t>사진</t>
    <phoneticPr fontId="2" type="noConversion"/>
  </si>
  <si>
    <t>링크 작동유 탱크 내부</t>
    <phoneticPr fontId="2" type="noConversion"/>
  </si>
  <si>
    <t>UNS-26020-055</t>
    <phoneticPr fontId="2" type="noConversion"/>
  </si>
  <si>
    <t>냉각수</t>
    <phoneticPr fontId="2" type="noConversion"/>
  </si>
  <si>
    <t>열교환기</t>
    <phoneticPr fontId="2" type="noConversion"/>
  </si>
  <si>
    <t>GKM-81108-760</t>
    <phoneticPr fontId="2" type="noConversion"/>
  </si>
  <si>
    <t>UNN-46026-022</t>
    <phoneticPr fontId="2" type="noConversion"/>
  </si>
  <si>
    <t>UNS-26020-053</t>
    <phoneticPr fontId="2" type="noConversion"/>
  </si>
  <si>
    <t>1년</t>
    <phoneticPr fontId="2" type="noConversion"/>
  </si>
  <si>
    <t>X</t>
    <phoneticPr fontId="2" type="noConversion"/>
  </si>
  <si>
    <t>GCEU-12289-001</t>
    <phoneticPr fontId="2" type="noConversion"/>
  </si>
  <si>
    <t>GCEU-11206-001(투입구)</t>
    <phoneticPr fontId="2" type="noConversion"/>
  </si>
  <si>
    <t>GCEU-10032-001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</si>
</sst>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1" fillId="0" borderId="0">
      <alignment vertical="center"/>
    </xf>
    <xf numFmtId="0" fontId="4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indent="1"/>
    </xf>
    <xf numFmtId="0" fontId="3" fillId="0" borderId="1" xfId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">
    <cellStyle name="표준" xfId="0" builtinId="0"/>
    <cellStyle name="표준 2" xfId="2" xr:uid="{00000000-0005-0000-0000-000002000000}"/>
    <cellStyle name="표준 3" xfId="3" xr:uid="{00000000-0005-0000-0000-000003000000}"/>
    <cellStyle name="하이퍼링크" xfId="1" builtinId="8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53"/>
  <sheetViews>
    <sheetView tabSelected="1" zoomScaleNormal="100" workbookViewId="0">
      <selection activeCell="G33" sqref="G33"/>
    </sheetView>
  </sheetViews>
  <sheetFormatPr defaultColWidth="9" defaultRowHeight="17" x14ac:dyDescent="0.45"/>
  <cols>
    <col min="1" max="2" width="9" style="3"/>
    <col min="3" max="3" width="11" style="3" bestFit="1" customWidth="1"/>
    <col min="4" max="4" width="13" style="3" bestFit="1" customWidth="1"/>
    <col min="5" max="5" width="29" style="3" bestFit="1" customWidth="1"/>
    <col min="6" max="6" width="21.5" style="3" customWidth="1"/>
    <col min="7" max="7" width="18.58203125" style="3" bestFit="1" customWidth="1"/>
    <col min="8" max="8" width="12.33203125" style="3" bestFit="1" customWidth="1"/>
    <col min="9" max="9" width="8.6640625"/>
    <col min="10" max="10" width="21.33203125" style="3" bestFit="1" customWidth="1"/>
    <col min="11" max="11" width="9.58203125" style="3" customWidth="1"/>
    <col min="12" max="12" width="7.08203125" style="3" customWidth="1"/>
    <col min="13" max="13" width="27.58203125" style="3" customWidth="1"/>
    <col min="14" max="14" width="25.08203125" style="3" customWidth="1"/>
    <col min="15" max="16384" width="9" style="3"/>
  </cols>
  <sheetData>
    <row r="2" spans="1:14" x14ac:dyDescent="0.45">
      <c r="A2" s="2"/>
      <c r="B2" s="2" t="s">
        <v>21</v>
      </c>
      <c r="C2" s="2" t="s">
        <v>16</v>
      </c>
      <c r="D2" s="2" t="s">
        <v>17</v>
      </c>
      <c r="E2" s="2" t="s">
        <v>3</v>
      </c>
      <c r="F2" s="2" t="s">
        <v>119</v>
      </c>
      <c r="G2" s="2" t="s">
        <v>4</v>
      </c>
      <c r="H2" s="2" t="s">
        <v>18</v>
      </c>
      <c r="J2" s="2" t="s">
        <v>123</v>
      </c>
      <c r="L2" s="2"/>
      <c r="M2" s="2" t="s">
        <v>20</v>
      </c>
      <c r="N2" s="2" t="s">
        <v>19</v>
      </c>
    </row>
    <row r="3" spans="1:14" x14ac:dyDescent="0.45">
      <c r="A3" s="12"/>
      <c r="B3" s="2">
        <v>1</v>
      </c>
      <c r="C3" s="8" t="s">
        <v>22</v>
      </c>
      <c r="D3" s="8" t="s">
        <v>23</v>
      </c>
      <c r="E3" s="6" t="s">
        <v>24</v>
      </c>
      <c r="F3" s="6" t="s">
        <v>120</v>
      </c>
      <c r="G3" s="1" t="s">
        <v>47</v>
      </c>
      <c r="H3" s="1" t="s">
        <v>39</v>
      </c>
      <c r="J3" s="7"/>
      <c r="L3" s="2">
        <v>1</v>
      </c>
      <c r="M3" s="4"/>
      <c r="N3" s="4"/>
    </row>
    <row r="4" spans="1:14" x14ac:dyDescent="0.45">
      <c r="A4" s="12"/>
      <c r="B4" s="2">
        <f>B3+1</f>
        <v>2</v>
      </c>
      <c r="C4" s="8"/>
      <c r="D4" s="8"/>
      <c r="E4" s="6" t="s">
        <v>25</v>
      </c>
      <c r="F4" s="6" t="s">
        <v>122</v>
      </c>
      <c r="G4" s="1" t="s">
        <v>79</v>
      </c>
      <c r="H4" s="1" t="s">
        <v>35</v>
      </c>
      <c r="J4" s="7" t="s">
        <v>124</v>
      </c>
      <c r="L4" s="2">
        <v>2</v>
      </c>
      <c r="M4" s="4"/>
      <c r="N4" s="4"/>
    </row>
    <row r="5" spans="1:14" x14ac:dyDescent="0.45">
      <c r="A5" s="12"/>
      <c r="B5" s="2">
        <f t="shared" ref="B5:B53" si="0">B4+1</f>
        <v>3</v>
      </c>
      <c r="C5" s="8"/>
      <c r="D5" s="8"/>
      <c r="E5" s="6" t="s">
        <v>26</v>
      </c>
      <c r="F5" s="6" t="s">
        <v>121</v>
      </c>
      <c r="G5" s="1" t="s">
        <v>79</v>
      </c>
      <c r="H5" s="1" t="s">
        <v>36</v>
      </c>
      <c r="J5" s="2"/>
      <c r="L5" s="2">
        <v>3</v>
      </c>
      <c r="M5" s="4"/>
      <c r="N5" s="4"/>
    </row>
    <row r="6" spans="1:14" x14ac:dyDescent="0.45">
      <c r="A6" s="12"/>
      <c r="B6" s="2">
        <f t="shared" si="0"/>
        <v>4</v>
      </c>
      <c r="C6" s="8"/>
      <c r="D6" s="8"/>
      <c r="E6" s="6" t="s">
        <v>28</v>
      </c>
      <c r="F6" s="6" t="s">
        <v>130</v>
      </c>
      <c r="G6" s="1" t="s">
        <v>94</v>
      </c>
      <c r="H6" s="1" t="s">
        <v>38</v>
      </c>
      <c r="J6" s="2"/>
      <c r="L6" s="2">
        <v>4</v>
      </c>
      <c r="M6" s="4"/>
      <c r="N6" s="4"/>
    </row>
    <row r="7" spans="1:14" x14ac:dyDescent="0.45">
      <c r="A7" s="12"/>
      <c r="B7" s="2">
        <f t="shared" si="0"/>
        <v>5</v>
      </c>
      <c r="C7" s="8"/>
      <c r="D7" s="8"/>
      <c r="E7" s="6" t="s">
        <v>27</v>
      </c>
      <c r="F7" s="6" t="s">
        <v>125</v>
      </c>
      <c r="G7" s="1" t="s">
        <v>95</v>
      </c>
      <c r="H7" s="1" t="s">
        <v>37</v>
      </c>
      <c r="J7" s="2"/>
      <c r="L7" s="2">
        <v>5</v>
      </c>
      <c r="M7" s="4"/>
      <c r="N7" s="4"/>
    </row>
    <row r="8" spans="1:14" x14ac:dyDescent="0.45">
      <c r="A8" s="12"/>
      <c r="B8" s="2">
        <f t="shared" si="0"/>
        <v>6</v>
      </c>
      <c r="C8" s="8"/>
      <c r="D8" s="8" t="s">
        <v>1</v>
      </c>
      <c r="E8" s="6" t="s">
        <v>29</v>
      </c>
      <c r="F8" s="6" t="s">
        <v>134</v>
      </c>
      <c r="G8" s="1" t="s">
        <v>40</v>
      </c>
      <c r="H8" s="1" t="s">
        <v>40</v>
      </c>
      <c r="J8" s="2"/>
      <c r="L8" s="2">
        <v>6</v>
      </c>
      <c r="M8" s="4"/>
      <c r="N8" s="4"/>
    </row>
    <row r="9" spans="1:14" x14ac:dyDescent="0.45">
      <c r="A9" s="12"/>
      <c r="B9" s="2">
        <f t="shared" si="0"/>
        <v>7</v>
      </c>
      <c r="C9" s="8"/>
      <c r="D9" s="8"/>
      <c r="E9" s="6" t="s">
        <v>31</v>
      </c>
      <c r="F9" s="6" t="s">
        <v>128</v>
      </c>
      <c r="G9" s="1" t="s">
        <v>47</v>
      </c>
      <c r="H9" s="1" t="s">
        <v>41</v>
      </c>
      <c r="J9" s="2"/>
      <c r="L9" s="2">
        <v>7</v>
      </c>
      <c r="M9" s="4"/>
      <c r="N9" s="4"/>
    </row>
    <row r="10" spans="1:14" x14ac:dyDescent="0.45">
      <c r="A10" s="12"/>
      <c r="B10" s="2">
        <f t="shared" si="0"/>
        <v>8</v>
      </c>
      <c r="C10" s="8"/>
      <c r="D10" s="8"/>
      <c r="E10" s="6" t="s">
        <v>30</v>
      </c>
      <c r="F10" s="6" t="s">
        <v>129</v>
      </c>
      <c r="G10" s="1" t="s">
        <v>47</v>
      </c>
      <c r="H10" s="1" t="s">
        <v>39</v>
      </c>
      <c r="J10" s="2"/>
      <c r="L10" s="2">
        <v>8</v>
      </c>
      <c r="M10" s="4"/>
      <c r="N10" s="4"/>
    </row>
    <row r="11" spans="1:14" x14ac:dyDescent="0.45">
      <c r="A11" s="12"/>
      <c r="B11" s="2"/>
      <c r="C11" s="8"/>
      <c r="D11" s="1" t="s">
        <v>126</v>
      </c>
      <c r="E11" s="6" t="s">
        <v>127</v>
      </c>
      <c r="F11" s="6" t="s">
        <v>135</v>
      </c>
      <c r="G11" s="1" t="s">
        <v>131</v>
      </c>
      <c r="H11" s="1" t="s">
        <v>132</v>
      </c>
      <c r="J11" s="2"/>
      <c r="L11" s="2"/>
      <c r="M11" s="4"/>
      <c r="N11" s="4"/>
    </row>
    <row r="12" spans="1:14" x14ac:dyDescent="0.45">
      <c r="A12" s="12"/>
      <c r="B12" s="2">
        <f>B10+1</f>
        <v>9</v>
      </c>
      <c r="C12" s="8"/>
      <c r="D12" s="8" t="s">
        <v>2</v>
      </c>
      <c r="E12" s="6" t="s">
        <v>32</v>
      </c>
      <c r="F12" s="6" t="s">
        <v>133</v>
      </c>
      <c r="G12" s="1" t="s">
        <v>79</v>
      </c>
      <c r="H12" s="1" t="s">
        <v>36</v>
      </c>
      <c r="J12" s="2"/>
      <c r="L12" s="2">
        <v>9</v>
      </c>
      <c r="M12" s="4"/>
      <c r="N12" s="4"/>
    </row>
    <row r="13" spans="1:14" x14ac:dyDescent="0.45">
      <c r="A13" s="12"/>
      <c r="B13" s="2">
        <f t="shared" si="0"/>
        <v>10</v>
      </c>
      <c r="C13" s="8"/>
      <c r="D13" s="8"/>
      <c r="E13" s="6" t="s">
        <v>33</v>
      </c>
      <c r="F13" s="6"/>
      <c r="G13" s="1" t="s">
        <v>96</v>
      </c>
      <c r="H13" s="1" t="s">
        <v>39</v>
      </c>
      <c r="J13" s="2"/>
    </row>
    <row r="14" spans="1:14" x14ac:dyDescent="0.45">
      <c r="A14" s="12"/>
      <c r="B14" s="2">
        <f t="shared" si="0"/>
        <v>11</v>
      </c>
      <c r="C14" s="8"/>
      <c r="D14" s="8"/>
      <c r="E14" s="6" t="s">
        <v>34</v>
      </c>
      <c r="F14" s="6"/>
      <c r="G14" s="1" t="s">
        <v>49</v>
      </c>
      <c r="H14" s="1" t="s">
        <v>39</v>
      </c>
      <c r="J14" s="2"/>
    </row>
    <row r="15" spans="1:14" x14ac:dyDescent="0.45">
      <c r="A15" s="12"/>
      <c r="B15" s="2">
        <f>B14+1</f>
        <v>12</v>
      </c>
      <c r="C15" s="8" t="s">
        <v>43</v>
      </c>
      <c r="D15" s="8" t="s">
        <v>0</v>
      </c>
      <c r="E15" s="6" t="s">
        <v>44</v>
      </c>
      <c r="F15" s="6"/>
      <c r="G15" s="1" t="s">
        <v>97</v>
      </c>
      <c r="H15" s="1" t="s">
        <v>46</v>
      </c>
      <c r="J15" s="2"/>
    </row>
    <row r="16" spans="1:14" x14ac:dyDescent="0.45">
      <c r="A16" s="12"/>
      <c r="B16" s="2">
        <f t="shared" si="0"/>
        <v>13</v>
      </c>
      <c r="C16" s="8"/>
      <c r="D16" s="8"/>
      <c r="E16" s="6" t="s">
        <v>45</v>
      </c>
      <c r="F16" s="6"/>
      <c r="G16" s="1" t="s">
        <v>48</v>
      </c>
      <c r="H16" s="1" t="s">
        <v>47</v>
      </c>
      <c r="J16" s="2"/>
    </row>
    <row r="17" spans="1:10" x14ac:dyDescent="0.45">
      <c r="A17" s="12"/>
      <c r="B17" s="2">
        <f t="shared" si="0"/>
        <v>14</v>
      </c>
      <c r="C17" s="8"/>
      <c r="D17" s="8"/>
      <c r="E17" s="6" t="s">
        <v>113</v>
      </c>
      <c r="F17" s="6"/>
      <c r="G17" s="1" t="s">
        <v>79</v>
      </c>
      <c r="H17" s="1" t="s">
        <v>47</v>
      </c>
      <c r="J17" s="2"/>
    </row>
    <row r="18" spans="1:10" x14ac:dyDescent="0.45">
      <c r="A18" s="12"/>
      <c r="B18" s="2">
        <f t="shared" si="0"/>
        <v>15</v>
      </c>
      <c r="C18" s="8"/>
      <c r="D18" s="9" t="s">
        <v>1</v>
      </c>
      <c r="E18" s="6" t="s">
        <v>98</v>
      </c>
      <c r="F18" s="6"/>
      <c r="G18" s="1" t="s">
        <v>79</v>
      </c>
      <c r="H18" s="1" t="s">
        <v>49</v>
      </c>
      <c r="J18" s="2"/>
    </row>
    <row r="19" spans="1:10" x14ac:dyDescent="0.45">
      <c r="A19" s="12"/>
      <c r="B19" s="2">
        <f t="shared" si="0"/>
        <v>16</v>
      </c>
      <c r="C19" s="8"/>
      <c r="D19" s="11"/>
      <c r="E19" s="6" t="s">
        <v>52</v>
      </c>
      <c r="F19" s="6"/>
      <c r="G19" s="1" t="s">
        <v>47</v>
      </c>
      <c r="H19" s="1" t="s">
        <v>50</v>
      </c>
      <c r="J19" s="2"/>
    </row>
    <row r="20" spans="1:10" x14ac:dyDescent="0.45">
      <c r="A20" s="12"/>
      <c r="B20" s="2">
        <f t="shared" si="0"/>
        <v>17</v>
      </c>
      <c r="C20" s="8" t="s">
        <v>42</v>
      </c>
      <c r="D20" s="1" t="s">
        <v>0</v>
      </c>
      <c r="E20" s="6" t="s">
        <v>54</v>
      </c>
      <c r="F20" s="6"/>
      <c r="G20" s="1" t="s">
        <v>55</v>
      </c>
      <c r="H20" s="1" t="s">
        <v>99</v>
      </c>
      <c r="J20" s="2"/>
    </row>
    <row r="21" spans="1:10" x14ac:dyDescent="0.45">
      <c r="A21" s="12"/>
      <c r="B21" s="2">
        <f t="shared" si="0"/>
        <v>18</v>
      </c>
      <c r="C21" s="8"/>
      <c r="D21" s="1" t="s">
        <v>53</v>
      </c>
      <c r="E21" s="6" t="s">
        <v>56</v>
      </c>
      <c r="F21" s="6"/>
      <c r="G21" s="1" t="s">
        <v>100</v>
      </c>
      <c r="H21" s="1" t="s">
        <v>50</v>
      </c>
      <c r="J21" s="2"/>
    </row>
    <row r="22" spans="1:10" x14ac:dyDescent="0.45">
      <c r="A22" s="12"/>
      <c r="B22" s="2">
        <f t="shared" si="0"/>
        <v>19</v>
      </c>
      <c r="C22" s="8" t="s">
        <v>5</v>
      </c>
      <c r="D22" s="1" t="s">
        <v>6</v>
      </c>
      <c r="E22" s="6" t="s">
        <v>57</v>
      </c>
      <c r="F22" s="6"/>
      <c r="G22" s="1" t="s">
        <v>101</v>
      </c>
      <c r="H22" s="1" t="s">
        <v>58</v>
      </c>
      <c r="J22" s="2"/>
    </row>
    <row r="23" spans="1:10" x14ac:dyDescent="0.45">
      <c r="A23" s="12"/>
      <c r="B23" s="2">
        <f t="shared" si="0"/>
        <v>20</v>
      </c>
      <c r="C23" s="8"/>
      <c r="D23" s="1" t="s">
        <v>114</v>
      </c>
      <c r="E23" s="6" t="s">
        <v>115</v>
      </c>
      <c r="F23" s="6"/>
      <c r="G23" s="1" t="s">
        <v>83</v>
      </c>
      <c r="H23" s="1" t="s">
        <v>103</v>
      </c>
      <c r="J23" s="2"/>
    </row>
    <row r="24" spans="1:10" x14ac:dyDescent="0.45">
      <c r="A24" s="12"/>
      <c r="B24" s="2">
        <f t="shared" si="0"/>
        <v>21</v>
      </c>
      <c r="C24" s="8"/>
      <c r="D24" s="1" t="s">
        <v>114</v>
      </c>
      <c r="E24" s="6" t="s">
        <v>116</v>
      </c>
      <c r="F24" s="6"/>
      <c r="G24" s="1" t="s">
        <v>82</v>
      </c>
      <c r="H24" s="1" t="s">
        <v>101</v>
      </c>
      <c r="J24" s="2"/>
    </row>
    <row r="25" spans="1:10" x14ac:dyDescent="0.45">
      <c r="A25" s="12"/>
      <c r="B25" s="2">
        <f t="shared" si="0"/>
        <v>22</v>
      </c>
      <c r="C25" s="8"/>
      <c r="D25" s="1" t="s">
        <v>7</v>
      </c>
      <c r="E25" s="6" t="s">
        <v>60</v>
      </c>
      <c r="F25" s="6"/>
      <c r="G25" s="1" t="s">
        <v>102</v>
      </c>
      <c r="H25" s="1" t="s">
        <v>59</v>
      </c>
      <c r="J25" s="2"/>
    </row>
    <row r="26" spans="1:10" x14ac:dyDescent="0.45">
      <c r="A26" s="12"/>
      <c r="B26" s="2">
        <f t="shared" si="0"/>
        <v>23</v>
      </c>
      <c r="C26" s="8" t="s">
        <v>8</v>
      </c>
      <c r="D26" s="1" t="s">
        <v>9</v>
      </c>
      <c r="E26" s="6" t="s">
        <v>57</v>
      </c>
      <c r="F26" s="6"/>
      <c r="G26" s="1" t="s">
        <v>103</v>
      </c>
      <c r="H26" s="1" t="s">
        <v>58</v>
      </c>
      <c r="J26" s="2"/>
    </row>
    <row r="27" spans="1:10" x14ac:dyDescent="0.45">
      <c r="A27" s="12"/>
      <c r="B27" s="2">
        <f t="shared" si="0"/>
        <v>24</v>
      </c>
      <c r="C27" s="8"/>
      <c r="D27" s="1" t="s">
        <v>114</v>
      </c>
      <c r="E27" s="6" t="s">
        <v>115</v>
      </c>
      <c r="F27" s="6"/>
      <c r="G27" s="1" t="s">
        <v>83</v>
      </c>
      <c r="H27" s="1" t="s">
        <v>103</v>
      </c>
      <c r="J27" s="2"/>
    </row>
    <row r="28" spans="1:10" x14ac:dyDescent="0.45">
      <c r="A28" s="12"/>
      <c r="B28" s="2">
        <f t="shared" si="0"/>
        <v>25</v>
      </c>
      <c r="C28" s="8"/>
      <c r="D28" s="1" t="s">
        <v>114</v>
      </c>
      <c r="E28" s="6" t="s">
        <v>116</v>
      </c>
      <c r="F28" s="6"/>
      <c r="G28" s="1" t="s">
        <v>82</v>
      </c>
      <c r="H28" s="1" t="s">
        <v>104</v>
      </c>
      <c r="J28" s="2"/>
    </row>
    <row r="29" spans="1:10" x14ac:dyDescent="0.45">
      <c r="A29" s="12"/>
      <c r="B29" s="2">
        <f t="shared" si="0"/>
        <v>26</v>
      </c>
      <c r="C29" s="8"/>
      <c r="D29" s="1" t="s">
        <v>10</v>
      </c>
      <c r="E29" s="6" t="s">
        <v>60</v>
      </c>
      <c r="F29" s="6"/>
      <c r="G29" s="1" t="s">
        <v>104</v>
      </c>
      <c r="H29" s="1" t="s">
        <v>59</v>
      </c>
      <c r="J29" s="2"/>
    </row>
    <row r="30" spans="1:10" x14ac:dyDescent="0.45">
      <c r="A30" s="12"/>
      <c r="B30" s="2">
        <f t="shared" si="0"/>
        <v>27</v>
      </c>
      <c r="C30" s="8" t="s">
        <v>11</v>
      </c>
      <c r="D30" s="1" t="s">
        <v>12</v>
      </c>
      <c r="E30" s="6" t="s">
        <v>61</v>
      </c>
      <c r="F30" s="6"/>
      <c r="G30" s="1" t="s">
        <v>79</v>
      </c>
      <c r="H30" s="1" t="s">
        <v>62</v>
      </c>
      <c r="J30" s="2"/>
    </row>
    <row r="31" spans="1:10" x14ac:dyDescent="0.45">
      <c r="A31" s="12"/>
      <c r="B31" s="2">
        <f t="shared" si="0"/>
        <v>28</v>
      </c>
      <c r="C31" s="8"/>
      <c r="D31" s="1" t="s">
        <v>13</v>
      </c>
      <c r="E31" s="6" t="s">
        <v>63</v>
      </c>
      <c r="F31" s="6"/>
      <c r="G31" s="1" t="s">
        <v>79</v>
      </c>
      <c r="H31" s="1" t="s">
        <v>64</v>
      </c>
      <c r="J31" s="2"/>
    </row>
    <row r="32" spans="1:10" x14ac:dyDescent="0.45">
      <c r="A32" s="12"/>
      <c r="B32" s="2">
        <f t="shared" si="0"/>
        <v>29</v>
      </c>
      <c r="C32" s="8"/>
      <c r="D32" s="1" t="s">
        <v>14</v>
      </c>
      <c r="E32" s="6" t="s">
        <v>61</v>
      </c>
      <c r="F32" s="6"/>
      <c r="G32" s="1" t="s">
        <v>79</v>
      </c>
      <c r="H32" s="1" t="s">
        <v>62</v>
      </c>
      <c r="J32" s="2"/>
    </row>
    <row r="33" spans="1:10" x14ac:dyDescent="0.45">
      <c r="A33" s="12"/>
      <c r="B33" s="2">
        <f t="shared" si="0"/>
        <v>30</v>
      </c>
      <c r="C33" s="8" t="s">
        <v>15</v>
      </c>
      <c r="D33" s="1" t="s">
        <v>65</v>
      </c>
      <c r="E33" s="6" t="s">
        <v>66</v>
      </c>
      <c r="F33" s="6"/>
      <c r="G33" s="1" t="s">
        <v>67</v>
      </c>
      <c r="H33" s="1" t="s">
        <v>102</v>
      </c>
      <c r="J33" s="2"/>
    </row>
    <row r="34" spans="1:10" x14ac:dyDescent="0.45">
      <c r="A34" s="12"/>
      <c r="B34" s="2">
        <f t="shared" si="0"/>
        <v>31</v>
      </c>
      <c r="C34" s="8"/>
      <c r="D34" s="1" t="s">
        <v>1</v>
      </c>
      <c r="E34" s="6" t="s">
        <v>105</v>
      </c>
      <c r="F34" s="6"/>
      <c r="G34" s="1" t="s">
        <v>106</v>
      </c>
      <c r="H34" s="1" t="s">
        <v>68</v>
      </c>
      <c r="J34" s="2"/>
    </row>
    <row r="35" spans="1:10" x14ac:dyDescent="0.45">
      <c r="B35" s="2">
        <f t="shared" si="0"/>
        <v>32</v>
      </c>
      <c r="C35" s="8" t="s">
        <v>69</v>
      </c>
      <c r="D35" s="1" t="s">
        <v>1</v>
      </c>
      <c r="E35" s="6" t="s">
        <v>71</v>
      </c>
      <c r="F35" s="6"/>
      <c r="G35" s="1" t="s">
        <v>79</v>
      </c>
      <c r="H35" s="1" t="s">
        <v>72</v>
      </c>
      <c r="J35" s="2"/>
    </row>
    <row r="36" spans="1:10" x14ac:dyDescent="0.45">
      <c r="B36" s="2">
        <f t="shared" si="0"/>
        <v>33</v>
      </c>
      <c r="C36" s="8"/>
      <c r="D36" s="9" t="s">
        <v>78</v>
      </c>
      <c r="E36" s="6" t="s">
        <v>74</v>
      </c>
      <c r="F36" s="6"/>
      <c r="G36" s="1" t="s">
        <v>107</v>
      </c>
      <c r="H36" s="1" t="s">
        <v>77</v>
      </c>
      <c r="J36" s="2"/>
    </row>
    <row r="37" spans="1:10" x14ac:dyDescent="0.45">
      <c r="B37" s="2">
        <f t="shared" si="0"/>
        <v>34</v>
      </c>
      <c r="C37" s="8"/>
      <c r="D37" s="10"/>
      <c r="E37" s="6" t="s">
        <v>75</v>
      </c>
      <c r="F37" s="6"/>
      <c r="G37" s="1" t="s">
        <v>94</v>
      </c>
      <c r="H37" s="1" t="s">
        <v>77</v>
      </c>
      <c r="J37" s="2"/>
    </row>
    <row r="38" spans="1:10" x14ac:dyDescent="0.45">
      <c r="B38" s="2">
        <f t="shared" si="0"/>
        <v>35</v>
      </c>
      <c r="C38" s="8"/>
      <c r="D38" s="10"/>
      <c r="E38" s="6" t="s">
        <v>76</v>
      </c>
      <c r="F38" s="6"/>
      <c r="G38" s="1" t="s">
        <v>108</v>
      </c>
      <c r="H38" s="1" t="s">
        <v>79</v>
      </c>
      <c r="J38" s="2"/>
    </row>
    <row r="39" spans="1:10" x14ac:dyDescent="0.45">
      <c r="B39" s="2">
        <f t="shared" si="0"/>
        <v>36</v>
      </c>
      <c r="C39" s="8"/>
      <c r="D39" s="11"/>
      <c r="E39" s="6" t="s">
        <v>73</v>
      </c>
      <c r="F39" s="6"/>
      <c r="G39" s="1" t="s">
        <v>109</v>
      </c>
      <c r="H39" s="1" t="s">
        <v>79</v>
      </c>
      <c r="J39" s="2"/>
    </row>
    <row r="40" spans="1:10" x14ac:dyDescent="0.45">
      <c r="B40" s="2">
        <f t="shared" si="0"/>
        <v>37</v>
      </c>
      <c r="C40" s="8" t="s">
        <v>70</v>
      </c>
      <c r="D40" s="1" t="s">
        <v>1</v>
      </c>
      <c r="E40" s="6" t="s">
        <v>80</v>
      </c>
      <c r="F40" s="6"/>
      <c r="G40" s="1" t="s">
        <v>110</v>
      </c>
      <c r="H40" s="1" t="s">
        <v>72</v>
      </c>
      <c r="J40" s="2"/>
    </row>
    <row r="41" spans="1:10" x14ac:dyDescent="0.45">
      <c r="B41" s="2">
        <f t="shared" si="0"/>
        <v>38</v>
      </c>
      <c r="C41" s="8"/>
      <c r="D41" s="9" t="s">
        <v>78</v>
      </c>
      <c r="E41" s="6" t="s">
        <v>81</v>
      </c>
      <c r="F41" s="6"/>
      <c r="G41" s="1" t="s">
        <v>101</v>
      </c>
      <c r="H41" s="1" t="s">
        <v>49</v>
      </c>
      <c r="J41" s="2"/>
    </row>
    <row r="42" spans="1:10" x14ac:dyDescent="0.45">
      <c r="B42" s="2">
        <f t="shared" si="0"/>
        <v>39</v>
      </c>
      <c r="C42" s="8"/>
      <c r="D42" s="10"/>
      <c r="E42" s="6" t="s">
        <v>75</v>
      </c>
      <c r="F42" s="6"/>
      <c r="G42" s="1" t="s">
        <v>103</v>
      </c>
      <c r="H42" s="1" t="s">
        <v>62</v>
      </c>
      <c r="J42" s="2"/>
    </row>
    <row r="43" spans="1:10" x14ac:dyDescent="0.45">
      <c r="B43" s="2">
        <f t="shared" si="0"/>
        <v>40</v>
      </c>
      <c r="C43" s="8"/>
      <c r="D43" s="10"/>
      <c r="E43" s="6" t="s">
        <v>76</v>
      </c>
      <c r="F43" s="6"/>
      <c r="G43" s="1" t="s">
        <v>109</v>
      </c>
      <c r="H43" s="1" t="s">
        <v>82</v>
      </c>
      <c r="J43" s="2"/>
    </row>
    <row r="44" spans="1:10" x14ac:dyDescent="0.45">
      <c r="B44" s="2">
        <f t="shared" si="0"/>
        <v>41</v>
      </c>
      <c r="C44" s="8"/>
      <c r="D44" s="11"/>
      <c r="E44" s="6" t="s">
        <v>73</v>
      </c>
      <c r="F44" s="6"/>
      <c r="G44" s="1" t="s">
        <v>110</v>
      </c>
      <c r="H44" s="1" t="s">
        <v>83</v>
      </c>
      <c r="J44" s="2"/>
    </row>
    <row r="45" spans="1:10" x14ac:dyDescent="0.45">
      <c r="B45" s="2">
        <f t="shared" si="0"/>
        <v>42</v>
      </c>
      <c r="C45" s="8" t="s">
        <v>84</v>
      </c>
      <c r="D45" s="1" t="s">
        <v>1</v>
      </c>
      <c r="E45" s="6" t="s">
        <v>85</v>
      </c>
      <c r="F45" s="6"/>
      <c r="G45" s="1" t="s">
        <v>110</v>
      </c>
      <c r="H45" s="1" t="s">
        <v>111</v>
      </c>
      <c r="J45" s="2"/>
    </row>
    <row r="46" spans="1:10" x14ac:dyDescent="0.45">
      <c r="B46" s="2">
        <f t="shared" si="0"/>
        <v>43</v>
      </c>
      <c r="C46" s="8"/>
      <c r="D46" s="1" t="s">
        <v>1</v>
      </c>
      <c r="E46" s="6" t="s">
        <v>86</v>
      </c>
      <c r="F46" s="6"/>
      <c r="G46" s="1" t="s">
        <v>48</v>
      </c>
      <c r="H46" s="1" t="s">
        <v>62</v>
      </c>
      <c r="J46" s="2"/>
    </row>
    <row r="47" spans="1:10" x14ac:dyDescent="0.45">
      <c r="B47" s="2"/>
      <c r="C47" s="8"/>
      <c r="D47" s="1" t="s">
        <v>117</v>
      </c>
      <c r="E47" s="6" t="s">
        <v>118</v>
      </c>
      <c r="F47" s="6"/>
      <c r="G47" s="1" t="s">
        <v>110</v>
      </c>
      <c r="H47" s="1" t="s">
        <v>102</v>
      </c>
      <c r="J47" s="2"/>
    </row>
    <row r="48" spans="1:10" x14ac:dyDescent="0.45">
      <c r="B48" s="2">
        <f>B46+1</f>
        <v>44</v>
      </c>
      <c r="C48" s="8"/>
      <c r="D48" s="1" t="s">
        <v>87</v>
      </c>
      <c r="E48" s="6" t="s">
        <v>88</v>
      </c>
      <c r="F48" s="6"/>
      <c r="G48" s="1" t="s">
        <v>83</v>
      </c>
      <c r="H48" s="1" t="s">
        <v>50</v>
      </c>
      <c r="J48" s="2"/>
    </row>
    <row r="49" spans="2:10" x14ac:dyDescent="0.45">
      <c r="B49" s="2">
        <f t="shared" si="0"/>
        <v>45</v>
      </c>
      <c r="C49" s="8"/>
      <c r="D49" s="1" t="s">
        <v>87</v>
      </c>
      <c r="E49" s="6" t="s">
        <v>89</v>
      </c>
      <c r="F49" s="6"/>
      <c r="G49" s="1" t="s">
        <v>83</v>
      </c>
      <c r="H49" s="1" t="s">
        <v>47</v>
      </c>
      <c r="J49" s="2"/>
    </row>
    <row r="50" spans="2:10" x14ac:dyDescent="0.45">
      <c r="B50" s="2">
        <f t="shared" si="0"/>
        <v>46</v>
      </c>
      <c r="C50" s="8"/>
      <c r="D50" s="1" t="s">
        <v>87</v>
      </c>
      <c r="E50" s="6" t="s">
        <v>90</v>
      </c>
      <c r="F50" s="6"/>
      <c r="G50" s="1" t="s">
        <v>83</v>
      </c>
      <c r="H50" s="1" t="s">
        <v>77</v>
      </c>
      <c r="J50" s="2"/>
    </row>
    <row r="51" spans="2:10" x14ac:dyDescent="0.45">
      <c r="B51" s="2">
        <f t="shared" si="0"/>
        <v>47</v>
      </c>
      <c r="C51" s="8"/>
      <c r="D51" s="1" t="s">
        <v>87</v>
      </c>
      <c r="E51" s="6" t="s">
        <v>91</v>
      </c>
      <c r="F51" s="6"/>
      <c r="G51" s="1" t="s">
        <v>83</v>
      </c>
      <c r="H51" s="1" t="s">
        <v>50</v>
      </c>
      <c r="J51" s="2"/>
    </row>
    <row r="52" spans="2:10" x14ac:dyDescent="0.45">
      <c r="B52" s="2">
        <f t="shared" si="0"/>
        <v>48</v>
      </c>
      <c r="C52" s="8"/>
      <c r="D52" s="1" t="s">
        <v>51</v>
      </c>
      <c r="E52" s="6" t="s">
        <v>112</v>
      </c>
      <c r="F52" s="6"/>
      <c r="G52" s="1" t="s">
        <v>49</v>
      </c>
      <c r="H52" s="1" t="s">
        <v>50</v>
      </c>
      <c r="J52" s="2"/>
    </row>
    <row r="53" spans="2:10" ht="16.5" customHeight="1" x14ac:dyDescent="0.45">
      <c r="B53" s="2">
        <f t="shared" si="0"/>
        <v>49</v>
      </c>
      <c r="C53" s="5" t="s">
        <v>92</v>
      </c>
      <c r="D53" s="1" t="s">
        <v>1</v>
      </c>
      <c r="E53" s="6" t="s">
        <v>93</v>
      </c>
      <c r="F53" s="6"/>
      <c r="G53" s="1" t="s">
        <v>47</v>
      </c>
      <c r="H53" s="1" t="s">
        <v>72</v>
      </c>
      <c r="J53" s="2"/>
    </row>
  </sheetData>
  <mergeCells count="18">
    <mergeCell ref="D3:D7"/>
    <mergeCell ref="D8:D10"/>
    <mergeCell ref="D12:D14"/>
    <mergeCell ref="D15:D17"/>
    <mergeCell ref="D18:D19"/>
    <mergeCell ref="A3:A34"/>
    <mergeCell ref="C3:C14"/>
    <mergeCell ref="C20:C21"/>
    <mergeCell ref="C22:C25"/>
    <mergeCell ref="C26:C29"/>
    <mergeCell ref="C30:C32"/>
    <mergeCell ref="C33:C34"/>
    <mergeCell ref="C15:C19"/>
    <mergeCell ref="C35:C39"/>
    <mergeCell ref="C45:C52"/>
    <mergeCell ref="D36:D39"/>
    <mergeCell ref="C40:C44"/>
    <mergeCell ref="D41:D44"/>
  </mergeCells>
  <phoneticPr fontId="2" type="noConversion"/>
  <hyperlinks>
    <hyperlink ref="J4" location="사진1!A1" display="링크" xr:uid="{00000000-0004-0000-02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주조기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2026-07-21T01:45:49Z</dcterms:modified>
</cp:coreProperties>
</file>